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y Drive\Biedrība\Biedrības rēķini\2026\202603Marts\"/>
    </mc:Choice>
  </mc:AlternateContent>
  <xr:revisionPtr revIDLastSave="0" documentId="8_{278B6890-41B1-4896-8FF2-1D75C8D584C7}" xr6:coauthVersionLast="47" xr6:coauthVersionMax="47" xr10:uidLastSave="{00000000-0000-0000-0000-000000000000}"/>
  <bookViews>
    <workbookView xWindow="360" yWindow="2220" windowWidth="20076" windowHeight="10128" tabRatio="745" xr2:uid="{4DDE74C2-B04E-48D4-96C2-E8D5FE67055C}"/>
  </bookViews>
  <sheets>
    <sheet name="Siltuma aprēķins" sheetId="27" r:id="rId1"/>
    <sheet name="Rekvizīti" sheetId="9" r:id="rId2"/>
    <sheet name="Rēķini" sheetId="1" r:id="rId3"/>
    <sheet name="Mēneša Kopsummas" sheetId="4" r:id="rId4"/>
    <sheet name="Ūdens" sheetId="2" r:id="rId5"/>
    <sheet name="Elektrība" sheetId="3" r:id="rId6"/>
    <sheet name="veikals 1" sheetId="8" r:id="rId7"/>
    <sheet name="veikals 2" sheetId="11" r:id="rId8"/>
    <sheet name="dz3" sheetId="12" r:id="rId9"/>
    <sheet name="dz4" sheetId="13" r:id="rId10"/>
    <sheet name="dz6" sheetId="14" r:id="rId11"/>
    <sheet name="dz7" sheetId="15" r:id="rId12"/>
    <sheet name="dz8" sheetId="24" r:id="rId13"/>
    <sheet name="dz9" sheetId="17" r:id="rId14"/>
    <sheet name="dz10" sheetId="18" r:id="rId15"/>
    <sheet name="dz11" sheetId="19" r:id="rId16"/>
    <sheet name="dz12" sheetId="20" r:id="rId17"/>
    <sheet name="1A pagrabs" sheetId="21" r:id="rId18"/>
    <sheet name="dz11dz12 skait&amp;rem" sheetId="31" r:id="rId19"/>
  </sheets>
  <calcPr calcId="191029"/>
</workbook>
</file>

<file path=xl/calcChain.xml><?xml version="1.0" encoding="utf-8"?>
<calcChain xmlns="http://schemas.openxmlformats.org/spreadsheetml/2006/main">
  <c r="D30" i="1" l="1"/>
  <c r="G9" i="27"/>
  <c r="G8" i="27"/>
  <c r="B13" i="21"/>
  <c r="B13" i="20"/>
  <c r="B14" i="19"/>
  <c r="B13" i="18"/>
  <c r="B14" i="17"/>
  <c r="B13" i="15"/>
  <c r="B13" i="14"/>
  <c r="A20" i="24"/>
  <c r="D2" i="1"/>
  <c r="B13" i="13" s="1"/>
  <c r="B13" i="12"/>
  <c r="E2" i="14"/>
  <c r="G27" i="8"/>
  <c r="B14" i="4"/>
  <c r="A1" i="31"/>
  <c r="G15" i="31"/>
  <c r="G17" i="31"/>
  <c r="A2" i="21"/>
  <c r="G17" i="21"/>
  <c r="A19" i="21"/>
  <c r="A20" i="21"/>
  <c r="F20" i="21"/>
  <c r="A21" i="21"/>
  <c r="F25" i="21"/>
  <c r="G25" i="21"/>
  <c r="F26" i="21"/>
  <c r="G26" i="21"/>
  <c r="A31" i="21"/>
  <c r="A2" i="20"/>
  <c r="G17" i="20"/>
  <c r="A19" i="20"/>
  <c r="A20" i="20"/>
  <c r="F20" i="20"/>
  <c r="A21" i="20"/>
  <c r="A22" i="20"/>
  <c r="F22" i="20"/>
  <c r="F27" i="20"/>
  <c r="G27" i="20"/>
  <c r="F28" i="20"/>
  <c r="G28" i="20"/>
  <c r="A34" i="20"/>
  <c r="A2" i="19"/>
  <c r="G18" i="19"/>
  <c r="A20" i="19"/>
  <c r="F20" i="19"/>
  <c r="A21" i="19"/>
  <c r="F21" i="19"/>
  <c r="A22" i="19"/>
  <c r="A23" i="19"/>
  <c r="F23" i="19"/>
  <c r="F28" i="19"/>
  <c r="G28" i="19"/>
  <c r="F29" i="19"/>
  <c r="G29" i="19"/>
  <c r="G30" i="19"/>
  <c r="A33" i="19"/>
  <c r="A2" i="18"/>
  <c r="G17" i="18"/>
  <c r="A19" i="18"/>
  <c r="A20" i="18"/>
  <c r="F20" i="18"/>
  <c r="F25" i="18"/>
  <c r="G25" i="18"/>
  <c r="F26" i="18"/>
  <c r="G26" i="18"/>
  <c r="F27" i="18"/>
  <c r="A31" i="18"/>
  <c r="A2" i="17"/>
  <c r="G18" i="17"/>
  <c r="A20" i="17"/>
  <c r="A21" i="17"/>
  <c r="F21" i="17"/>
  <c r="A22" i="17"/>
  <c r="A23" i="17"/>
  <c r="F23" i="17"/>
  <c r="F28" i="17"/>
  <c r="G28" i="17"/>
  <c r="F29" i="17"/>
  <c r="G29" i="17"/>
  <c r="A34" i="17"/>
  <c r="A2" i="24"/>
  <c r="G18" i="24"/>
  <c r="A21" i="24"/>
  <c r="F21" i="24"/>
  <c r="F26" i="24"/>
  <c r="G26" i="24"/>
  <c r="F27" i="24"/>
  <c r="G27" i="24"/>
  <c r="A34" i="24"/>
  <c r="A2" i="15"/>
  <c r="E2" i="15"/>
  <c r="G17" i="15"/>
  <c r="A19" i="15"/>
  <c r="A20" i="15"/>
  <c r="F20" i="15"/>
  <c r="A21" i="15"/>
  <c r="A22" i="15"/>
  <c r="F22" i="15"/>
  <c r="F27" i="15"/>
  <c r="G27" i="15"/>
  <c r="F28" i="15"/>
  <c r="G28" i="15"/>
  <c r="F29" i="15"/>
  <c r="A37" i="15"/>
  <c r="A2" i="14"/>
  <c r="G17" i="14"/>
  <c r="A19" i="14"/>
  <c r="A20" i="14"/>
  <c r="F20" i="14"/>
  <c r="F25" i="14"/>
  <c r="G25" i="14"/>
  <c r="F26" i="14"/>
  <c r="G26" i="14"/>
  <c r="F27" i="14"/>
  <c r="A31" i="14"/>
  <c r="A2" i="13"/>
  <c r="G17" i="13"/>
  <c r="A19" i="13"/>
  <c r="A20" i="13"/>
  <c r="F20" i="13"/>
  <c r="A21" i="13"/>
  <c r="A22" i="13"/>
  <c r="F22" i="13"/>
  <c r="F27" i="13"/>
  <c r="G27" i="13"/>
  <c r="F28" i="13"/>
  <c r="G28" i="13"/>
  <c r="G30" i="13"/>
  <c r="A33" i="13"/>
  <c r="A2" i="12"/>
  <c r="G17" i="12"/>
  <c r="G18" i="12"/>
  <c r="A20" i="12"/>
  <c r="F20" i="12"/>
  <c r="A21" i="12"/>
  <c r="F21" i="12"/>
  <c r="A22" i="12"/>
  <c r="A23" i="12"/>
  <c r="F23" i="12"/>
  <c r="F28" i="12"/>
  <c r="G28" i="12"/>
  <c r="F29" i="12"/>
  <c r="G29" i="12"/>
  <c r="F30" i="12"/>
  <c r="G32" i="12"/>
  <c r="A35" i="12"/>
  <c r="A2" i="11"/>
  <c r="G17" i="11"/>
  <c r="G18" i="11"/>
  <c r="A20" i="11"/>
  <c r="A21" i="11"/>
  <c r="F21" i="11"/>
  <c r="F26" i="11"/>
  <c r="G26" i="11"/>
  <c r="F27" i="11"/>
  <c r="G27" i="11"/>
  <c r="F28" i="11"/>
  <c r="A31" i="11"/>
  <c r="A2" i="8"/>
  <c r="E2" i="8"/>
  <c r="G17" i="8"/>
  <c r="G18" i="8"/>
  <c r="A20" i="8"/>
  <c r="F20" i="8"/>
  <c r="A21" i="8"/>
  <c r="F21" i="8"/>
  <c r="E26" i="8"/>
  <c r="F26" i="8"/>
  <c r="G26" i="8"/>
  <c r="F27" i="8"/>
  <c r="A33" i="8"/>
  <c r="F2" i="3"/>
  <c r="Y2" i="3"/>
  <c r="J2" i="3"/>
  <c r="M2" i="3" s="1"/>
  <c r="W2" i="3"/>
  <c r="X2" i="3" s="1"/>
  <c r="AN2" i="3" s="1"/>
  <c r="AB2" i="3"/>
  <c r="F3" i="3"/>
  <c r="J3" i="3"/>
  <c r="G8" i="3" s="1"/>
  <c r="H8" i="3" s="1"/>
  <c r="W3" i="3"/>
  <c r="X3" i="3"/>
  <c r="AN3" i="3" s="1"/>
  <c r="F4" i="3"/>
  <c r="C20" i="9"/>
  <c r="A38" i="8" s="1"/>
  <c r="J4" i="3"/>
  <c r="W4" i="3"/>
  <c r="X4" i="3" s="1"/>
  <c r="AN4" i="3" s="1"/>
  <c r="AA6" i="3"/>
  <c r="AB15" i="3"/>
  <c r="AC15" i="3"/>
  <c r="AB17" i="3"/>
  <c r="AB18" i="3" s="1"/>
  <c r="AC1" i="2"/>
  <c r="R2" i="2"/>
  <c r="E20" i="8"/>
  <c r="S2" i="2"/>
  <c r="E21" i="8"/>
  <c r="V2" i="2"/>
  <c r="F2" i="2"/>
  <c r="W2" i="2"/>
  <c r="AC2" i="2" s="1"/>
  <c r="H5" i="1" s="1"/>
  <c r="R3" i="2"/>
  <c r="S3" i="2"/>
  <c r="E21" i="11" s="1"/>
  <c r="V3" i="2"/>
  <c r="F3" i="2" s="1"/>
  <c r="W3" i="2"/>
  <c r="G3" i="2" s="1"/>
  <c r="R4" i="2"/>
  <c r="E20" i="12"/>
  <c r="S4" i="2"/>
  <c r="E21" i="12" s="1"/>
  <c r="T4" i="2"/>
  <c r="E22" i="12"/>
  <c r="U4" i="2"/>
  <c r="E23" i="12"/>
  <c r="V4" i="2"/>
  <c r="F4" i="2" s="1"/>
  <c r="O9" i="27" s="1"/>
  <c r="W4" i="2"/>
  <c r="G4" i="2"/>
  <c r="P9" i="27"/>
  <c r="R5" i="2"/>
  <c r="S5" i="2"/>
  <c r="Y5" i="2" s="1"/>
  <c r="T5" i="2"/>
  <c r="E21" i="13" s="1"/>
  <c r="U5" i="2"/>
  <c r="E22" i="13" s="1"/>
  <c r="V5" i="2"/>
  <c r="F5" i="2"/>
  <c r="O10" i="27"/>
  <c r="W5" i="2"/>
  <c r="G5" i="2"/>
  <c r="P10" i="27" s="1"/>
  <c r="R6" i="2"/>
  <c r="S6" i="2"/>
  <c r="E20" i="14" s="1"/>
  <c r="V6" i="2"/>
  <c r="W6" i="2"/>
  <c r="G6" i="2" s="1"/>
  <c r="R7" i="2"/>
  <c r="E19" i="15" s="1"/>
  <c r="S7" i="2"/>
  <c r="E20" i="15"/>
  <c r="T7" i="2"/>
  <c r="E21" i="15"/>
  <c r="U7" i="2"/>
  <c r="E22" i="15"/>
  <c r="V7" i="2"/>
  <c r="F7" i="2" s="1"/>
  <c r="O12" i="27" s="1"/>
  <c r="W7" i="2"/>
  <c r="G7" i="2"/>
  <c r="P12" i="27" s="1"/>
  <c r="R8" i="2"/>
  <c r="E20" i="24" s="1"/>
  <c r="S8" i="2"/>
  <c r="E21" i="24"/>
  <c r="V8" i="2"/>
  <c r="W8" i="2"/>
  <c r="R9" i="2"/>
  <c r="S9" i="2"/>
  <c r="E21" i="17" s="1"/>
  <c r="T9" i="2"/>
  <c r="E22" i="17"/>
  <c r="U9" i="2"/>
  <c r="E23" i="17" s="1"/>
  <c r="V9" i="2"/>
  <c r="F9" i="2"/>
  <c r="O14" i="27" s="1"/>
  <c r="W9" i="2"/>
  <c r="G9" i="2"/>
  <c r="R10" i="2"/>
  <c r="E19" i="18"/>
  <c r="S10" i="2"/>
  <c r="E20" i="18"/>
  <c r="V10" i="2"/>
  <c r="W10" i="2"/>
  <c r="R11" i="2"/>
  <c r="E20" i="19" s="1"/>
  <c r="S11" i="2"/>
  <c r="Y11" i="2" s="1"/>
  <c r="T11" i="2"/>
  <c r="E22" i="19" s="1"/>
  <c r="U11" i="2"/>
  <c r="E23" i="19"/>
  <c r="V11" i="2"/>
  <c r="F11" i="2" s="1"/>
  <c r="O16" i="27" s="1"/>
  <c r="W11" i="2"/>
  <c r="G11" i="2"/>
  <c r="P16" i="27"/>
  <c r="R12" i="2"/>
  <c r="E19" i="20" s="1"/>
  <c r="S12" i="2"/>
  <c r="E20" i="20" s="1"/>
  <c r="T12" i="2"/>
  <c r="U12" i="2"/>
  <c r="AA12" i="2" s="1"/>
  <c r="G22" i="20" s="1"/>
  <c r="V12" i="2"/>
  <c r="F12" i="2"/>
  <c r="O17" i="27"/>
  <c r="W12" i="2"/>
  <c r="G12" i="2"/>
  <c r="P17" i="27" s="1"/>
  <c r="R13" i="2"/>
  <c r="S13" i="2"/>
  <c r="E20" i="21" s="1"/>
  <c r="T13" i="2"/>
  <c r="E21" i="21"/>
  <c r="V13" i="2"/>
  <c r="F13" i="2" s="1"/>
  <c r="O18" i="27" s="1"/>
  <c r="W13" i="2"/>
  <c r="G13" i="2"/>
  <c r="A14" i="2"/>
  <c r="C17" i="2"/>
  <c r="J27" i="2"/>
  <c r="L27" i="2"/>
  <c r="N27" i="2"/>
  <c r="P27" i="2"/>
  <c r="J28" i="2"/>
  <c r="L28" i="2"/>
  <c r="N28" i="2"/>
  <c r="D1" i="4"/>
  <c r="E1" i="4"/>
  <c r="F1" i="4"/>
  <c r="G1" i="4"/>
  <c r="C2" i="4"/>
  <c r="C3" i="4"/>
  <c r="E3" i="4"/>
  <c r="G3" i="4"/>
  <c r="C4" i="4"/>
  <c r="E4" i="4"/>
  <c r="G4" i="4"/>
  <c r="C5" i="4"/>
  <c r="E5" i="4"/>
  <c r="G5" i="4"/>
  <c r="C6" i="4"/>
  <c r="E6" i="4"/>
  <c r="G6" i="4"/>
  <c r="C7" i="4"/>
  <c r="E7" i="4"/>
  <c r="G7" i="4"/>
  <c r="C8" i="4"/>
  <c r="E8" i="4"/>
  <c r="G8" i="4"/>
  <c r="C9" i="4"/>
  <c r="E9" i="4"/>
  <c r="G9" i="4"/>
  <c r="C10" i="4"/>
  <c r="E10" i="4"/>
  <c r="G10" i="4"/>
  <c r="C11" i="4"/>
  <c r="E11" i="4"/>
  <c r="G11" i="4"/>
  <c r="C12" i="4"/>
  <c r="E12" i="4"/>
  <c r="G12" i="4"/>
  <c r="C13" i="4"/>
  <c r="E13" i="4"/>
  <c r="G16" i="4"/>
  <c r="D1" i="1"/>
  <c r="A10" i="13" s="1"/>
  <c r="A10" i="24"/>
  <c r="A10" i="18"/>
  <c r="E1" i="1"/>
  <c r="A11" i="20" s="1"/>
  <c r="F1" i="1"/>
  <c r="E2" i="1"/>
  <c r="E5" i="1" s="1"/>
  <c r="F2" i="1"/>
  <c r="G2" i="1"/>
  <c r="F19" i="21" s="1"/>
  <c r="J2" i="1"/>
  <c r="J10" i="1" s="1"/>
  <c r="O2" i="1"/>
  <c r="F30" i="17" s="1"/>
  <c r="F5" i="1"/>
  <c r="O5" i="1"/>
  <c r="E6" i="1"/>
  <c r="F6" i="1"/>
  <c r="O6" i="1"/>
  <c r="G28" i="11" s="1"/>
  <c r="E7" i="1"/>
  <c r="F7" i="1"/>
  <c r="J7" i="1"/>
  <c r="F25" i="12" s="1"/>
  <c r="O7" i="1"/>
  <c r="G30" i="12" s="1"/>
  <c r="E8" i="1"/>
  <c r="O8" i="1"/>
  <c r="G29" i="13" s="1"/>
  <c r="Q8" i="1"/>
  <c r="E9" i="1"/>
  <c r="J9" i="1"/>
  <c r="F22" i="14" s="1"/>
  <c r="E10" i="1"/>
  <c r="Q10" i="1" s="1"/>
  <c r="G30" i="15" s="1"/>
  <c r="O10" i="1"/>
  <c r="G29" i="15" s="1"/>
  <c r="E11" i="1"/>
  <c r="E12" i="1"/>
  <c r="J12" i="1"/>
  <c r="F25" i="19" s="1"/>
  <c r="O12" i="1"/>
  <c r="G30" i="17" s="1"/>
  <c r="Q12" i="1"/>
  <c r="G31" i="17" s="1"/>
  <c r="E13" i="1"/>
  <c r="E14" i="1"/>
  <c r="J14" i="1"/>
  <c r="G25" i="19" s="1"/>
  <c r="O14" i="1"/>
  <c r="O15" i="1"/>
  <c r="G29" i="20" s="1"/>
  <c r="E16" i="1"/>
  <c r="J16" i="1"/>
  <c r="S17" i="1"/>
  <c r="S18" i="1"/>
  <c r="S19" i="1"/>
  <c r="S20" i="1"/>
  <c r="S21" i="1"/>
  <c r="S22" i="1"/>
  <c r="S23" i="1"/>
  <c r="S24" i="1"/>
  <c r="S25" i="1"/>
  <c r="C26" i="1"/>
  <c r="F26" i="1"/>
  <c r="M26" i="1"/>
  <c r="N26" i="1"/>
  <c r="P26" i="1"/>
  <c r="R26" i="1"/>
  <c r="E31" i="1"/>
  <c r="E33" i="1"/>
  <c r="A35" i="18" s="1"/>
  <c r="A38" i="17"/>
  <c r="A37" i="13"/>
  <c r="A38" i="24"/>
  <c r="F38" i="1"/>
  <c r="H38" i="1"/>
  <c r="H39" i="1"/>
  <c r="F48" i="1"/>
  <c r="E59" i="1"/>
  <c r="E32" i="1"/>
  <c r="A34" i="11" s="1"/>
  <c r="C17" i="9"/>
  <c r="C18" i="9"/>
  <c r="C19" i="9"/>
  <c r="C25" i="9"/>
  <c r="C30" i="9"/>
  <c r="B3" i="27"/>
  <c r="E3" i="27"/>
  <c r="A5" i="27"/>
  <c r="B4" i="27" s="1"/>
  <c r="G6" i="27"/>
  <c r="E6" i="27" s="1"/>
  <c r="E23" i="27" s="1"/>
  <c r="H6" i="27"/>
  <c r="I6" i="27"/>
  <c r="V7" i="27"/>
  <c r="X9" i="27" s="1"/>
  <c r="E8" i="27"/>
  <c r="H8" i="27" s="1"/>
  <c r="V8" i="27"/>
  <c r="E9" i="27"/>
  <c r="H9" i="27" s="1"/>
  <c r="V9" i="27"/>
  <c r="V10" i="27"/>
  <c r="N27" i="27" s="1"/>
  <c r="N29" i="27" s="1"/>
  <c r="V11" i="27"/>
  <c r="F12" i="27"/>
  <c r="V12" i="27"/>
  <c r="V13" i="27"/>
  <c r="V14" i="27"/>
  <c r="N31" i="27" s="1"/>
  <c r="N33" i="27" s="1"/>
  <c r="V15" i="27"/>
  <c r="V16" i="27"/>
  <c r="N36" i="27" s="1"/>
  <c r="N38" i="27" s="1"/>
  <c r="V17" i="27"/>
  <c r="V18" i="27"/>
  <c r="L19" i="27"/>
  <c r="Q19" i="27"/>
  <c r="J20" i="27"/>
  <c r="V20" i="27"/>
  <c r="K23" i="27"/>
  <c r="E26" i="27"/>
  <c r="E27" i="27"/>
  <c r="E28" i="27"/>
  <c r="J38" i="27"/>
  <c r="F28" i="27"/>
  <c r="G28" i="27" s="1"/>
  <c r="I28" i="27" s="1"/>
  <c r="M28" i="27"/>
  <c r="N28" i="27"/>
  <c r="E29" i="27"/>
  <c r="E31" i="27"/>
  <c r="M32" i="27"/>
  <c r="N32" i="27"/>
  <c r="E33" i="27"/>
  <c r="F16" i="27" s="1"/>
  <c r="E34" i="27"/>
  <c r="F34" i="27" s="1"/>
  <c r="M37" i="27"/>
  <c r="N37" i="27"/>
  <c r="E20" i="17"/>
  <c r="G8" i="2"/>
  <c r="P13" i="27"/>
  <c r="E34" i="1"/>
  <c r="L2" i="1"/>
  <c r="L10" i="1" s="1"/>
  <c r="A37" i="19"/>
  <c r="A35" i="11"/>
  <c r="E21" i="19"/>
  <c r="A11" i="18"/>
  <c r="A11" i="8"/>
  <c r="A11" i="12"/>
  <c r="A11" i="19"/>
  <c r="A11" i="13"/>
  <c r="A11" i="24"/>
  <c r="E2" i="13"/>
  <c r="E2" i="20"/>
  <c r="E2" i="11"/>
  <c r="E2" i="19"/>
  <c r="E2" i="17"/>
  <c r="E1" i="31"/>
  <c r="E2" i="12"/>
  <c r="D2" i="24"/>
  <c r="E2" i="21"/>
  <c r="A10" i="14"/>
  <c r="A10" i="19"/>
  <c r="A10" i="8"/>
  <c r="A10" i="15"/>
  <c r="A10" i="17"/>
  <c r="A10" i="12"/>
  <c r="A10" i="11"/>
  <c r="A10" i="21"/>
  <c r="A10" i="20"/>
  <c r="M3" i="3"/>
  <c r="AO2" i="3"/>
  <c r="A3" i="3"/>
  <c r="Y3" i="3"/>
  <c r="P14" i="27"/>
  <c r="E19" i="13"/>
  <c r="E19" i="14"/>
  <c r="AO3" i="3"/>
  <c r="A38" i="13"/>
  <c r="A36" i="11"/>
  <c r="AC8" i="2"/>
  <c r="H11" i="1" s="1"/>
  <c r="AC10" i="2"/>
  <c r="H13" i="1"/>
  <c r="Y10" i="2"/>
  <c r="G20" i="18"/>
  <c r="Y13" i="2"/>
  <c r="G20" i="21"/>
  <c r="Y8" i="2"/>
  <c r="G21" i="24" s="1"/>
  <c r="Y12" i="2"/>
  <c r="G20" i="20" s="1"/>
  <c r="Y7" i="2"/>
  <c r="G20" i="15" s="1"/>
  <c r="AA9" i="2"/>
  <c r="G23" i="17" s="1"/>
  <c r="Y4" i="2"/>
  <c r="AC3" i="2"/>
  <c r="H6" i="1"/>
  <c r="AA11" i="2"/>
  <c r="G23" i="19" s="1"/>
  <c r="H16" i="1"/>
  <c r="P18" i="27"/>
  <c r="G10" i="2"/>
  <c r="P15" i="27"/>
  <c r="F10" i="2"/>
  <c r="O15" i="27"/>
  <c r="F6" i="2"/>
  <c r="Y6" i="2"/>
  <c r="G20" i="14" s="1"/>
  <c r="AA4" i="2"/>
  <c r="G23" i="12"/>
  <c r="Y2" i="2"/>
  <c r="G21" i="8"/>
  <c r="AA7" i="2"/>
  <c r="G22" i="15"/>
  <c r="M4" i="3"/>
  <c r="L15" i="1"/>
  <c r="G26" i="20" s="1"/>
  <c r="A39" i="24"/>
  <c r="A36" i="14"/>
  <c r="A42" i="15"/>
  <c r="A35" i="21"/>
  <c r="A38" i="19"/>
  <c r="A39" i="20"/>
  <c r="E7" i="27"/>
  <c r="G15" i="27" s="1"/>
  <c r="A36" i="8"/>
  <c r="A39" i="12"/>
  <c r="A41" i="15"/>
  <c r="A38" i="20"/>
  <c r="K2" i="1"/>
  <c r="K14" i="1" s="1"/>
  <c r="A35" i="14"/>
  <c r="A37" i="8"/>
  <c r="Y4" i="3"/>
  <c r="A4" i="3"/>
  <c r="A36" i="18"/>
  <c r="A39" i="17"/>
  <c r="AA5" i="2"/>
  <c r="G22" i="13"/>
  <c r="E21" i="20"/>
  <c r="AC6" i="2"/>
  <c r="Y9" i="2"/>
  <c r="G5" i="1"/>
  <c r="O8" i="27"/>
  <c r="B13" i="11"/>
  <c r="B13" i="8"/>
  <c r="E2" i="18"/>
  <c r="Y15" i="2"/>
  <c r="AC15" i="2" s="1"/>
  <c r="Y14" i="2"/>
  <c r="AC14" i="2" s="1"/>
  <c r="AC13" i="2"/>
  <c r="AC4" i="2"/>
  <c r="H7" i="1" s="1"/>
  <c r="G21" i="12"/>
  <c r="AC7" i="2"/>
  <c r="H10" i="1" s="1"/>
  <c r="O11" i="27"/>
  <c r="G9" i="1"/>
  <c r="F19" i="2"/>
  <c r="F26" i="20"/>
  <c r="F23" i="18"/>
  <c r="G23" i="18" s="1"/>
  <c r="K5" i="1"/>
  <c r="K9" i="1"/>
  <c r="K13" i="1"/>
  <c r="K8" i="1"/>
  <c r="K10" i="1"/>
  <c r="F24" i="11"/>
  <c r="F26" i="17"/>
  <c r="G26" i="17" s="1"/>
  <c r="F26" i="19"/>
  <c r="G26" i="19"/>
  <c r="F24" i="8"/>
  <c r="F23" i="14"/>
  <c r="G23" i="14" s="1"/>
  <c r="F24" i="24"/>
  <c r="G24" i="24" s="1"/>
  <c r="F25" i="13"/>
  <c r="G25" i="13" s="1"/>
  <c r="AO4" i="3"/>
  <c r="G21" i="17"/>
  <c r="AC9" i="2"/>
  <c r="H12" i="1" s="1"/>
  <c r="G24" i="8"/>
  <c r="Z3" i="3" l="1"/>
  <c r="AA3" i="3" s="1"/>
  <c r="AC3" i="3" s="1"/>
  <c r="AI3" i="3"/>
  <c r="Z2" i="3"/>
  <c r="AA2" i="3" s="1"/>
  <c r="AC2" i="3" s="1"/>
  <c r="AI2" i="3"/>
  <c r="Z4" i="3"/>
  <c r="AA4" i="3" s="1"/>
  <c r="AC4" i="3" s="1"/>
  <c r="AI4" i="3"/>
  <c r="G20" i="13"/>
  <c r="AC5" i="2"/>
  <c r="H8" i="1" s="1"/>
  <c r="H26" i="1" s="1"/>
  <c r="X3" i="2"/>
  <c r="G20" i="11" s="1"/>
  <c r="AB8" i="2"/>
  <c r="G11" i="1" s="1"/>
  <c r="E16" i="27"/>
  <c r="G34" i="27"/>
  <c r="AC11" i="2"/>
  <c r="H14" i="1" s="1"/>
  <c r="G21" i="19"/>
  <c r="P11" i="27"/>
  <c r="H9" i="1"/>
  <c r="G19" i="2"/>
  <c r="G26" i="15"/>
  <c r="F26" i="15"/>
  <c r="G14" i="2"/>
  <c r="P7" i="27"/>
  <c r="G6" i="1"/>
  <c r="O7" i="27"/>
  <c r="Q13" i="1"/>
  <c r="G28" i="18" s="1"/>
  <c r="U3" i="27"/>
  <c r="R4" i="27"/>
  <c r="H23" i="27"/>
  <c r="F24" i="15"/>
  <c r="G24" i="15"/>
  <c r="K6" i="1"/>
  <c r="L14" i="1"/>
  <c r="G27" i="19" s="1"/>
  <c r="A37" i="20"/>
  <c r="O13" i="1"/>
  <c r="G27" i="18" s="1"/>
  <c r="Y3" i="2"/>
  <c r="G21" i="11" s="1"/>
  <c r="G2" i="2"/>
  <c r="P8" i="27" s="1"/>
  <c r="F20" i="11"/>
  <c r="F19" i="14"/>
  <c r="F19" i="18"/>
  <c r="E19" i="21"/>
  <c r="B13" i="24"/>
  <c r="J13" i="1"/>
  <c r="J1" i="1"/>
  <c r="F22" i="19"/>
  <c r="A40" i="15"/>
  <c r="L8" i="1"/>
  <c r="A34" i="14"/>
  <c r="F25" i="20"/>
  <c r="G25" i="20" s="1"/>
  <c r="A37" i="17"/>
  <c r="L7" i="1"/>
  <c r="Q16" i="1"/>
  <c r="G28" i="21" s="1"/>
  <c r="J6" i="1"/>
  <c r="H1" i="1"/>
  <c r="F8" i="2"/>
  <c r="O13" i="27" s="1"/>
  <c r="E20" i="11"/>
  <c r="F28" i="8"/>
  <c r="G28" i="8" s="1"/>
  <c r="F21" i="15"/>
  <c r="F27" i="21"/>
  <c r="F26" i="12"/>
  <c r="G26" i="12" s="1"/>
  <c r="K15" i="1"/>
  <c r="A36" i="13"/>
  <c r="L16" i="1"/>
  <c r="L6" i="1"/>
  <c r="O16" i="1"/>
  <c r="G27" i="21" s="1"/>
  <c r="O9" i="1"/>
  <c r="G27" i="14" s="1"/>
  <c r="E20" i="13"/>
  <c r="F22" i="12"/>
  <c r="A11" i="21"/>
  <c r="AB1" i="2"/>
  <c r="G25" i="17"/>
  <c r="H15" i="1"/>
  <c r="L1" i="1"/>
  <c r="F25" i="24" s="1"/>
  <c r="E41" i="1"/>
  <c r="E44" i="1"/>
  <c r="F25" i="17"/>
  <c r="A40" i="12"/>
  <c r="F19" i="15"/>
  <c r="F30" i="19"/>
  <c r="F21" i="20"/>
  <c r="L9" i="1"/>
  <c r="E32" i="27"/>
  <c r="J5" i="1"/>
  <c r="G23" i="21"/>
  <c r="K12" i="1"/>
  <c r="K7" i="1"/>
  <c r="AC12" i="2"/>
  <c r="A11" i="17"/>
  <c r="J15" i="1"/>
  <c r="F23" i="21"/>
  <c r="K11" i="1"/>
  <c r="A36" i="19"/>
  <c r="A2" i="3"/>
  <c r="A11" i="14"/>
  <c r="J8" i="1"/>
  <c r="F20" i="24"/>
  <c r="A38" i="12"/>
  <c r="L11" i="1"/>
  <c r="G25" i="24" s="1"/>
  <c r="A11" i="11"/>
  <c r="E15" i="1"/>
  <c r="O11" i="1"/>
  <c r="G28" i="24" s="1"/>
  <c r="F21" i="13"/>
  <c r="G22" i="14"/>
  <c r="F22" i="17"/>
  <c r="F19" i="20"/>
  <c r="A34" i="18"/>
  <c r="L13" i="1"/>
  <c r="A11" i="15"/>
  <c r="J11" i="1"/>
  <c r="E22" i="20"/>
  <c r="F29" i="20"/>
  <c r="F21" i="21"/>
  <c r="E22" i="27"/>
  <c r="A37" i="24"/>
  <c r="L12" i="1"/>
  <c r="E41" i="27"/>
  <c r="G25" i="12"/>
  <c r="A34" i="21"/>
  <c r="L5" i="1"/>
  <c r="F25" i="15"/>
  <c r="G25" i="15" s="1"/>
  <c r="F19" i="13"/>
  <c r="F28" i="24"/>
  <c r="F20" i="17"/>
  <c r="F29" i="13"/>
  <c r="AB6" i="2" l="1"/>
  <c r="X9" i="2"/>
  <c r="Z12" i="2"/>
  <c r="G21" i="20" s="1"/>
  <c r="Z13" i="2"/>
  <c r="X2" i="2"/>
  <c r="G20" i="8" s="1"/>
  <c r="X10" i="2"/>
  <c r="G19" i="18" s="1"/>
  <c r="X7" i="2"/>
  <c r="X8" i="2"/>
  <c r="G20" i="24" s="1"/>
  <c r="X5" i="2"/>
  <c r="Z9" i="2"/>
  <c r="G22" i="17" s="1"/>
  <c r="X4" i="2"/>
  <c r="AB10" i="2"/>
  <c r="G13" i="1" s="1"/>
  <c r="X11" i="2"/>
  <c r="Z7" i="2"/>
  <c r="G21" i="15" s="1"/>
  <c r="AB2" i="2"/>
  <c r="Z11" i="2"/>
  <c r="G22" i="19" s="1"/>
  <c r="AB3" i="2"/>
  <c r="Z4" i="2"/>
  <c r="G22" i="12" s="1"/>
  <c r="U8" i="27"/>
  <c r="U12" i="27"/>
  <c r="U18" i="27"/>
  <c r="U13" i="27"/>
  <c r="U9" i="27"/>
  <c r="U14" i="27"/>
  <c r="U10" i="27"/>
  <c r="M27" i="27" s="1"/>
  <c r="M29" i="27" s="1"/>
  <c r="P29" i="27" s="1"/>
  <c r="U15" i="27"/>
  <c r="U7" i="27"/>
  <c r="U11" i="27"/>
  <c r="M31" i="27" s="1"/>
  <c r="M33" i="27" s="1"/>
  <c r="P33" i="27" s="1"/>
  <c r="U16" i="27"/>
  <c r="M36" i="27" s="1"/>
  <c r="M38" i="27" s="1"/>
  <c r="P38" i="27" s="1"/>
  <c r="C26" i="9"/>
  <c r="I2" i="1" s="1"/>
  <c r="U17" i="27"/>
  <c r="F22" i="18"/>
  <c r="G22" i="18"/>
  <c r="F27" i="19"/>
  <c r="G27" i="17"/>
  <c r="F27" i="17"/>
  <c r="X13" i="2"/>
  <c r="AP4" i="3"/>
  <c r="AQ4" i="3" s="1"/>
  <c r="AO8" i="3"/>
  <c r="AJ4" i="3"/>
  <c r="AL4" i="3" s="1"/>
  <c r="R18" i="27"/>
  <c r="R13" i="27"/>
  <c r="R9" i="27"/>
  <c r="R10" i="27"/>
  <c r="R14" i="27"/>
  <c r="R15" i="27"/>
  <c r="R7" i="27"/>
  <c r="R11" i="27"/>
  <c r="R16" i="27"/>
  <c r="R17" i="27"/>
  <c r="R8" i="27"/>
  <c r="R12" i="27"/>
  <c r="X12" i="2"/>
  <c r="Q9" i="1"/>
  <c r="F14" i="2"/>
  <c r="AJ2" i="3"/>
  <c r="AL2" i="3" s="1"/>
  <c r="AP2" i="3"/>
  <c r="AQ2" i="3" s="1"/>
  <c r="F24" i="13"/>
  <c r="G24" i="13"/>
  <c r="Z5" i="2"/>
  <c r="G21" i="13" s="1"/>
  <c r="H16" i="27"/>
  <c r="F36" i="27"/>
  <c r="G41" i="27"/>
  <c r="E42" i="27"/>
  <c r="E45" i="27"/>
  <c r="F23" i="8"/>
  <c r="G23" i="8"/>
  <c r="J26" i="1"/>
  <c r="Q11" i="1"/>
  <c r="G29" i="24" s="1"/>
  <c r="F24" i="14"/>
  <c r="G24" i="14"/>
  <c r="C18" i="2"/>
  <c r="P19" i="27"/>
  <c r="E40" i="27" s="1"/>
  <c r="J37" i="27" s="1"/>
  <c r="F23" i="24"/>
  <c r="G23" i="24"/>
  <c r="F25" i="11"/>
  <c r="G25" i="11"/>
  <c r="F24" i="20"/>
  <c r="G24" i="20"/>
  <c r="L26" i="1"/>
  <c r="F34" i="1" s="1"/>
  <c r="H34" i="1" s="1"/>
  <c r="F25" i="8"/>
  <c r="G25" i="8"/>
  <c r="F23" i="11"/>
  <c r="G23" i="11"/>
  <c r="I34" i="27"/>
  <c r="G18" i="27"/>
  <c r="X6" i="2"/>
  <c r="G19" i="14" s="1"/>
  <c r="E26" i="1"/>
  <c r="O26" i="1"/>
  <c r="F37" i="1" s="1"/>
  <c r="H37" i="1" s="1"/>
  <c r="G27" i="12"/>
  <c r="F27" i="12"/>
  <c r="AJ3" i="3"/>
  <c r="AL3" i="3" s="1"/>
  <c r="AP3" i="3"/>
  <c r="AQ3" i="3" s="1"/>
  <c r="G24" i="18"/>
  <c r="F24" i="21"/>
  <c r="F24" i="18"/>
  <c r="G24" i="21"/>
  <c r="G26" i="13"/>
  <c r="F26" i="13"/>
  <c r="Q27" i="1"/>
  <c r="K26" i="1"/>
  <c r="F33" i="1" s="1"/>
  <c r="H33" i="1" s="1"/>
  <c r="G24" i="11"/>
  <c r="E27" i="1"/>
  <c r="H18" i="27" l="1"/>
  <c r="G16" i="27"/>
  <c r="G28" i="14"/>
  <c r="S33" i="1"/>
  <c r="Q26" i="1"/>
  <c r="AB12" i="2"/>
  <c r="G15" i="1"/>
  <c r="G19" i="20"/>
  <c r="W9" i="27"/>
  <c r="U20" i="27"/>
  <c r="Z15" i="2"/>
  <c r="Z14" i="2"/>
  <c r="G21" i="21"/>
  <c r="G19" i="21"/>
  <c r="AB13" i="2"/>
  <c r="G16" i="1" s="1"/>
  <c r="X15" i="2"/>
  <c r="AB15" i="2" s="1"/>
  <c r="X14" i="2"/>
  <c r="I7" i="1"/>
  <c r="I14" i="1"/>
  <c r="G24" i="19" s="1"/>
  <c r="I11" i="1"/>
  <c r="I8" i="1"/>
  <c r="I15" i="1"/>
  <c r="I5" i="1"/>
  <c r="I12" i="1"/>
  <c r="I9" i="1"/>
  <c r="I16" i="1"/>
  <c r="I6" i="1"/>
  <c r="I13" i="1"/>
  <c r="I10" i="1"/>
  <c r="O19" i="27"/>
  <c r="C19" i="2"/>
  <c r="AB5" i="2"/>
  <c r="G8" i="1" s="1"/>
  <c r="G19" i="13"/>
  <c r="AB7" i="2"/>
  <c r="G10" i="1" s="1"/>
  <c r="G19" i="15"/>
  <c r="G20" i="17"/>
  <c r="AB9" i="2"/>
  <c r="G12" i="1" s="1"/>
  <c r="G20" i="19"/>
  <c r="G31" i="19" s="1"/>
  <c r="AB11" i="2"/>
  <c r="G14" i="1" s="1"/>
  <c r="G20" i="12"/>
  <c r="AB4" i="2"/>
  <c r="G7" i="1" s="1"/>
  <c r="G45" i="27"/>
  <c r="H47" i="27"/>
  <c r="I41" i="27"/>
  <c r="S13" i="1"/>
  <c r="D10" i="4" s="1"/>
  <c r="T13" i="1"/>
  <c r="F10" i="4" s="1"/>
  <c r="E61" i="1"/>
  <c r="F21" i="18" l="1"/>
  <c r="G21" i="18"/>
  <c r="G29" i="18" s="1"/>
  <c r="F22" i="21"/>
  <c r="G22" i="21"/>
  <c r="F23" i="15"/>
  <c r="G23" i="15"/>
  <c r="H48" i="27"/>
  <c r="H50" i="27" s="1"/>
  <c r="F50" i="27" s="1"/>
  <c r="H45" i="27"/>
  <c r="I50" i="27" s="1"/>
  <c r="F21" i="14"/>
  <c r="G21" i="14"/>
  <c r="G29" i="14" s="1"/>
  <c r="T9" i="1"/>
  <c r="F6" i="4" s="1"/>
  <c r="S9" i="1"/>
  <c r="D6" i="4" s="1"/>
  <c r="Y9" i="1"/>
  <c r="F24" i="19"/>
  <c r="F24" i="17"/>
  <c r="G24" i="17"/>
  <c r="G32" i="17" s="1"/>
  <c r="F22" i="8"/>
  <c r="G22" i="8"/>
  <c r="G29" i="8" s="1"/>
  <c r="G31" i="8" s="1"/>
  <c r="I26" i="1"/>
  <c r="F32" i="1" s="1"/>
  <c r="H32" i="1" s="1"/>
  <c r="S5" i="1"/>
  <c r="T5" i="1"/>
  <c r="T12" i="1"/>
  <c r="F9" i="4" s="1"/>
  <c r="S12" i="1"/>
  <c r="D9" i="4" s="1"/>
  <c r="T15" i="1"/>
  <c r="F12" i="4" s="1"/>
  <c r="Y15" i="1"/>
  <c r="S15" i="1"/>
  <c r="D12" i="4" s="1"/>
  <c r="G24" i="12"/>
  <c r="G31" i="12" s="1"/>
  <c r="G33" i="12" s="1"/>
  <c r="F24" i="12"/>
  <c r="T16" i="1"/>
  <c r="S16" i="1"/>
  <c r="F22" i="11"/>
  <c r="G22" i="11"/>
  <c r="G29" i="11" s="1"/>
  <c r="S6" i="1"/>
  <c r="D3" i="4" s="1"/>
  <c r="T6" i="1"/>
  <c r="F23" i="20"/>
  <c r="G23" i="20"/>
  <c r="F22" i="24"/>
  <c r="G22" i="24"/>
  <c r="G30" i="24" s="1"/>
  <c r="S11" i="1"/>
  <c r="D8" i="4" s="1"/>
  <c r="T11" i="1"/>
  <c r="F8" i="4" s="1"/>
  <c r="Q28" i="1"/>
  <c r="R33" i="1" s="1"/>
  <c r="F35" i="1"/>
  <c r="H35" i="1" s="1"/>
  <c r="G31" i="13"/>
  <c r="G29" i="21"/>
  <c r="S14" i="1"/>
  <c r="D11" i="4" s="1"/>
  <c r="T14" i="1"/>
  <c r="F11" i="4" s="1"/>
  <c r="F23" i="13"/>
  <c r="G23" i="13"/>
  <c r="G20" i="27"/>
  <c r="I16" i="27"/>
  <c r="I17" i="27"/>
  <c r="S7" i="1"/>
  <c r="D4" i="4" s="1"/>
  <c r="T7" i="1"/>
  <c r="F4" i="4" s="1"/>
  <c r="G26" i="1"/>
  <c r="F31" i="1" s="1"/>
  <c r="G30" i="20"/>
  <c r="G31" i="15"/>
  <c r="G33" i="15" s="1"/>
  <c r="S10" i="1"/>
  <c r="D7" i="4" s="1"/>
  <c r="T10" i="1"/>
  <c r="F7" i="4"/>
  <c r="E28" i="1"/>
  <c r="F40" i="1" s="1"/>
  <c r="H40" i="1" s="1"/>
  <c r="F5" i="4"/>
  <c r="S8" i="1"/>
  <c r="D5" i="4" s="1"/>
  <c r="Y8" i="1"/>
  <c r="T8" i="1"/>
  <c r="AB14" i="2"/>
  <c r="H31" i="1" l="1"/>
  <c r="F41" i="1"/>
  <c r="T26" i="1"/>
  <c r="D2" i="4"/>
  <c r="D14" i="4" s="1"/>
  <c r="S28" i="1"/>
  <c r="S26" i="1"/>
  <c r="S27" i="1" s="1"/>
  <c r="N14" i="27"/>
  <c r="N13" i="27"/>
  <c r="I4" i="27"/>
  <c r="I19" i="27"/>
  <c r="N11" i="27"/>
  <c r="N9" i="27"/>
  <c r="N16" i="27"/>
  <c r="N7" i="27"/>
  <c r="N18" i="27"/>
  <c r="N22" i="27" s="1"/>
  <c r="N17" i="27"/>
  <c r="N8" i="27"/>
  <c r="N12" i="27"/>
  <c r="N15" i="27"/>
  <c r="N19" i="27"/>
  <c r="N10" i="27"/>
  <c r="D13" i="4"/>
  <c r="F13" i="4"/>
  <c r="I48" i="27"/>
  <c r="F3" i="4"/>
  <c r="F14" i="4" s="1"/>
  <c r="W6" i="1"/>
  <c r="I21" i="27" l="1"/>
  <c r="I20" i="27"/>
  <c r="U26" i="1"/>
  <c r="E46" i="1"/>
  <c r="E49" i="1" s="1"/>
  <c r="O34" i="1"/>
  <c r="J32" i="1"/>
  <c r="H41" i="1"/>
  <c r="M3" i="1" l="1"/>
  <c r="C27" i="9"/>
  <c r="C28" i="9"/>
  <c r="M2" i="1"/>
</calcChain>
</file>

<file path=xl/sharedStrings.xml><?xml version="1.0" encoding="utf-8"?>
<sst xmlns="http://schemas.openxmlformats.org/spreadsheetml/2006/main" count="778" uniqueCount="322">
  <si>
    <t>Ligita</t>
  </si>
  <si>
    <t>Hedija</t>
  </si>
  <si>
    <t>3.dz.</t>
  </si>
  <si>
    <t>4.dz.</t>
  </si>
  <si>
    <t>6.dz.</t>
  </si>
  <si>
    <t>Ilze</t>
  </si>
  <si>
    <t>7.dz.</t>
  </si>
  <si>
    <t>8.dz.</t>
  </si>
  <si>
    <t>9.dz.</t>
  </si>
  <si>
    <t>10.dz.</t>
  </si>
  <si>
    <t>11.dz.</t>
  </si>
  <si>
    <t>12.dz.</t>
  </si>
  <si>
    <t>A.ūdens</t>
  </si>
  <si>
    <t>Cirkulācija</t>
  </si>
  <si>
    <t>Lietus notek.</t>
  </si>
  <si>
    <t>Atkritumi</t>
  </si>
  <si>
    <t>Kopl.el.</t>
  </si>
  <si>
    <t>Siltummezgls</t>
  </si>
  <si>
    <t>Pagrabs</t>
  </si>
  <si>
    <t>TOTAL</t>
  </si>
  <si>
    <t>Rīgas Ūdens</t>
  </si>
  <si>
    <t>Rīgas Siltums</t>
  </si>
  <si>
    <t>Aprēķins</t>
  </si>
  <si>
    <t>Dzīvoklis Nr.3 - L.Loeve</t>
  </si>
  <si>
    <t>Dzīvoklis Nr.4 Hedija</t>
  </si>
  <si>
    <t>Dzīvoklis Nr.6 Ilze</t>
  </si>
  <si>
    <t>apkure</t>
  </si>
  <si>
    <t>A.ūd.</t>
  </si>
  <si>
    <r>
      <t>V</t>
    </r>
    <r>
      <rPr>
        <vertAlign val="subscript"/>
        <sz val="11"/>
        <color indexed="8"/>
        <rFont val="Calibri"/>
        <family val="2"/>
        <charset val="186"/>
      </rPr>
      <t>k.ūd.patēr.</t>
    </r>
  </si>
  <si>
    <t>ūdens kopā</t>
  </si>
  <si>
    <t>k.ūd</t>
  </si>
  <si>
    <t>a.ūd.</t>
  </si>
  <si>
    <t>Nesakrīt:</t>
  </si>
  <si>
    <t>Ligitas daļa kopā</t>
  </si>
  <si>
    <t>Veikals</t>
  </si>
  <si>
    <t>11.dz</t>
  </si>
  <si>
    <t>Elektrība</t>
  </si>
  <si>
    <t>Dz.4</t>
  </si>
  <si>
    <t>Dz.6</t>
  </si>
  <si>
    <t>Dz.7</t>
  </si>
  <si>
    <t>Dz.8</t>
  </si>
  <si>
    <t>Dz.9</t>
  </si>
  <si>
    <t>Dz.10</t>
  </si>
  <si>
    <t>Dz.11</t>
  </si>
  <si>
    <t>Dz.12</t>
  </si>
  <si>
    <t>Iepriekš</t>
  </si>
  <si>
    <t>Tekošais</t>
  </si>
  <si>
    <t>Patēriņš</t>
  </si>
  <si>
    <t>Tarifs</t>
  </si>
  <si>
    <t>A</t>
  </si>
  <si>
    <t>Atag</t>
  </si>
  <si>
    <t>Aped</t>
  </si>
  <si>
    <t>Kped</t>
  </si>
  <si>
    <t>Ktag</t>
  </si>
  <si>
    <t>K</t>
  </si>
  <si>
    <t>Pagraba signalizācija abon.</t>
  </si>
  <si>
    <t>salons</t>
  </si>
  <si>
    <t xml:space="preserve">Izdevumi </t>
  </si>
  <si>
    <t>Koplietošana</t>
  </si>
  <si>
    <t>KOPĀ EUR</t>
  </si>
  <si>
    <t>tikai komunālie EUR</t>
  </si>
  <si>
    <t>pamata</t>
  </si>
  <si>
    <t>Kopā EUR</t>
  </si>
  <si>
    <t>Parādi/Avansi</t>
  </si>
  <si>
    <t>depozīts</t>
  </si>
  <si>
    <t>Clean atkritumi</t>
  </si>
  <si>
    <t>Sum A1</t>
  </si>
  <si>
    <t>Sum K1</t>
  </si>
  <si>
    <t>Sum A2</t>
  </si>
  <si>
    <t>Sum K2</t>
  </si>
  <si>
    <r>
      <t xml:space="preserve">A1 </t>
    </r>
    <r>
      <rPr>
        <b/>
        <sz val="10"/>
        <color indexed="8"/>
        <rFont val="Calibri"/>
        <family val="2"/>
        <charset val="186"/>
      </rPr>
      <t>€</t>
    </r>
  </si>
  <si>
    <r>
      <t xml:space="preserve">K1 </t>
    </r>
    <r>
      <rPr>
        <b/>
        <sz val="10"/>
        <color indexed="8"/>
        <rFont val="Calibri"/>
        <family val="2"/>
        <charset val="186"/>
      </rPr>
      <t>€</t>
    </r>
  </si>
  <si>
    <r>
      <t xml:space="preserve">A2 </t>
    </r>
    <r>
      <rPr>
        <b/>
        <sz val="10"/>
        <color indexed="8"/>
        <rFont val="Calibri"/>
        <family val="2"/>
        <charset val="186"/>
      </rPr>
      <t>€</t>
    </r>
  </si>
  <si>
    <r>
      <t xml:space="preserve">K2 </t>
    </r>
    <r>
      <rPr>
        <b/>
        <sz val="10"/>
        <color indexed="8"/>
        <rFont val="Calibri"/>
        <family val="2"/>
        <charset val="186"/>
      </rPr>
      <t>€</t>
    </r>
  </si>
  <si>
    <t>Salons</t>
  </si>
  <si>
    <t>Dz.3</t>
  </si>
  <si>
    <t>kopā</t>
  </si>
  <si>
    <t>pagrabs</t>
  </si>
  <si>
    <t>pvn</t>
  </si>
  <si>
    <t>kopā ar pvn</t>
  </si>
  <si>
    <t>Amp</t>
  </si>
  <si>
    <t>Dzīvoklis Nr.7  Kristīne</t>
  </si>
  <si>
    <t xml:space="preserve"> </t>
  </si>
  <si>
    <t>Elektroenerģija</t>
  </si>
  <si>
    <t>Kopā ar PVN</t>
  </si>
  <si>
    <t>1kwh</t>
  </si>
  <si>
    <t>Cafe</t>
  </si>
  <si>
    <t>veikals</t>
  </si>
  <si>
    <t>Kārlis</t>
  </si>
  <si>
    <t>kopā (no rēķina TET bez PVN)</t>
  </si>
  <si>
    <t>KOPĀ:</t>
  </si>
  <si>
    <t xml:space="preserve">Rēķina apmaksas termiņš: </t>
  </si>
  <si>
    <t>Nosaukums</t>
  </si>
  <si>
    <t>Mērvien.</t>
  </si>
  <si>
    <t>Daudz.</t>
  </si>
  <si>
    <t>Cena (EUR)</t>
  </si>
  <si>
    <t>Summa (EUR)</t>
  </si>
  <si>
    <t>Ūdens apgāde un kanalizācija</t>
  </si>
  <si>
    <r>
      <t>m</t>
    </r>
    <r>
      <rPr>
        <vertAlign val="superscript"/>
        <sz val="10"/>
        <color indexed="8"/>
        <rFont val="Times New Roman"/>
        <family val="1"/>
        <charset val="186"/>
      </rPr>
      <t>3</t>
    </r>
  </si>
  <si>
    <t>Cirkulācija*</t>
  </si>
  <si>
    <t>Lietus notekūdeņi</t>
  </si>
  <si>
    <t>mēnesis</t>
  </si>
  <si>
    <r>
      <t>Koplietošanas elektrība***</t>
    </r>
    <r>
      <rPr>
        <i/>
        <sz val="10"/>
        <color indexed="8"/>
        <rFont val="Times New Roman"/>
        <family val="1"/>
        <charset val="186"/>
      </rPr>
      <t xml:space="preserve"> </t>
    </r>
  </si>
  <si>
    <r>
      <t>m</t>
    </r>
    <r>
      <rPr>
        <vertAlign val="superscript"/>
        <sz val="10"/>
        <color indexed="8"/>
        <rFont val="Times New Roman"/>
        <family val="1"/>
        <charset val="186"/>
      </rPr>
      <t>2</t>
    </r>
  </si>
  <si>
    <t>Siltummezgla apkalpošana</t>
  </si>
  <si>
    <t>Summa samaksai, EUR</t>
  </si>
  <si>
    <t>Rēķins sagatavots elektroniski un derīgs bez paraksta</t>
  </si>
  <si>
    <t>Adrese: Brīvības 166-1, Rīga LV-1012</t>
  </si>
  <si>
    <t>Rēķinu starta pozīcija</t>
  </si>
  <si>
    <t>Summa vārdiem</t>
  </si>
  <si>
    <t>Kopā samaksai, EUR</t>
  </si>
  <si>
    <t>Atkritumu izvešana**</t>
  </si>
  <si>
    <t>iedz.</t>
  </si>
  <si>
    <t>Siltuma daudzums</t>
  </si>
  <si>
    <t>dzīvoklis</t>
  </si>
  <si>
    <t>Hedija/Ilze</t>
  </si>
  <si>
    <t>K.ūdens</t>
  </si>
  <si>
    <t>telpa</t>
  </si>
  <si>
    <t>Dzīvoklis Nr.8 Anastasiia</t>
  </si>
  <si>
    <t>Piecdesmit deviņi eiro, 13 centi</t>
  </si>
  <si>
    <t>Astoņdesmit seši eiro, 74 centi</t>
  </si>
  <si>
    <t>Piecdesmit četri eiro, 53 centi</t>
  </si>
  <si>
    <t>Septiņi simti trīspadsmit eiro, 58 centi</t>
  </si>
  <si>
    <t>Чотириста тридцять сім євро 17 центів</t>
  </si>
  <si>
    <t>Viens simts sešdesmit seši eiro, 76 centi</t>
  </si>
  <si>
    <t>Viens simts trīsdesmit četri eiro, 22 centi</t>
  </si>
  <si>
    <t>Viens simts piecpadsmit eiro, 33 centi</t>
  </si>
  <si>
    <t>Viens simts divdesmit septiņi eiro, 63 centi</t>
  </si>
  <si>
    <t>Deviņdesmit seši eiro, 86 centi</t>
  </si>
  <si>
    <t>Viens tūkstotis trīs simti sešpadsmit eiro, 52 centi</t>
  </si>
  <si>
    <t>Avanss</t>
  </si>
  <si>
    <t>Siltums EUR:</t>
  </si>
  <si>
    <t>Rīgas Ūdens:</t>
  </si>
  <si>
    <t>Mēnesī</t>
  </si>
  <si>
    <t>Tekošais mēnesis (cipars)</t>
  </si>
  <si>
    <t>Tekošais mēnesis (vārds)</t>
  </si>
  <si>
    <t>Nākošais mēnesis (vārds)</t>
  </si>
  <si>
    <t>Iepriekšējais mēnesis</t>
  </si>
  <si>
    <t>TARIFI:</t>
  </si>
  <si>
    <t>A.Ūdens</t>
  </si>
  <si>
    <t>K.Ūdens</t>
  </si>
  <si>
    <t>Ūdens tarifs</t>
  </si>
  <si>
    <t>Dzīvokļu/telpgrupu skaits</t>
  </si>
  <si>
    <t>Cirk.</t>
  </si>
  <si>
    <t>Koeficients (C)</t>
  </si>
  <si>
    <t>tarifs</t>
  </si>
  <si>
    <t>PVN</t>
  </si>
  <si>
    <t>Tarifs (ar PVN) (T)</t>
  </si>
  <si>
    <t>RS rēķina kopsumma EUR</t>
  </si>
  <si>
    <t>c - ūdens siltumietilpība c = 1;</t>
  </si>
  <si>
    <r>
      <t xml:space="preserve">k </t>
    </r>
    <r>
      <rPr>
        <vertAlign val="subscript"/>
        <sz val="12"/>
        <color indexed="8"/>
        <rFont val="Times New Roman"/>
        <family val="1"/>
        <charset val="186"/>
      </rPr>
      <t>1</t>
    </r>
    <r>
      <rPr>
        <sz val="12"/>
        <color indexed="8"/>
        <rFont val="Times New Roman"/>
        <family val="1"/>
        <charset val="186"/>
      </rPr>
      <t xml:space="preserve"> - siltuma zudumi ar starojumu no siltummaiņa apkārtējā telpā plākšņu tipa siltummainim k = 1,0;</t>
    </r>
  </si>
  <si>
    <r>
      <t xml:space="preserve">k </t>
    </r>
    <r>
      <rPr>
        <vertAlign val="subscript"/>
        <sz val="12"/>
        <color indexed="8"/>
        <rFont val="Times New Roman"/>
        <family val="1"/>
        <charset val="186"/>
      </rPr>
      <t>2</t>
    </r>
    <r>
      <rPr>
        <sz val="12"/>
        <color indexed="8"/>
        <rFont val="Times New Roman"/>
        <family val="1"/>
        <charset val="186"/>
      </rPr>
      <t xml:space="preserve"> - koeficients gigakalorijas [Gkal] pārveidošanai megavatstundā [MWh] - 0,8598</t>
    </r>
  </si>
  <si>
    <t>Dzīvoklis Nr.7 Kristīne Meirāne</t>
  </si>
  <si>
    <t>Dzīvoklis Nr.8 Anastasija</t>
  </si>
  <si>
    <t>aukstā ūdens patēriņš</t>
  </si>
  <si>
    <t>Dzīvoklis Nr.9 Sanita&amp;Rihards</t>
  </si>
  <si>
    <r>
      <t>RS patēriņš (Q</t>
    </r>
    <r>
      <rPr>
        <vertAlign val="subscript"/>
        <sz val="11"/>
        <color indexed="8"/>
        <rFont val="Calibri"/>
        <family val="2"/>
        <charset val="186"/>
      </rPr>
      <t>pieg.</t>
    </r>
    <r>
      <rPr>
        <sz val="10"/>
        <color theme="1"/>
        <rFont val="Arial"/>
        <family val="2"/>
        <charset val="186"/>
      </rPr>
      <t>)</t>
    </r>
  </si>
  <si>
    <t>apk./kvm</t>
  </si>
  <si>
    <t>Dzīvoklis Nr.10 Roberts&amp;Anna</t>
  </si>
  <si>
    <r>
      <t>Apkure (Q</t>
    </r>
    <r>
      <rPr>
        <vertAlign val="subscript"/>
        <sz val="11"/>
        <color indexed="8"/>
        <rFont val="Calibri"/>
        <family val="2"/>
        <charset val="186"/>
      </rPr>
      <t>apk.</t>
    </r>
    <r>
      <rPr>
        <sz val="10"/>
        <color theme="1"/>
        <rFont val="Arial"/>
        <family val="2"/>
        <charset val="186"/>
      </rPr>
      <t>) ziemā</t>
    </r>
  </si>
  <si>
    <t>Dzīvoklis Nr.11 Rūdolfs&amp;Marta</t>
  </si>
  <si>
    <r>
      <t>Apkure (Q</t>
    </r>
    <r>
      <rPr>
        <vertAlign val="subscript"/>
        <sz val="11"/>
        <color indexed="8"/>
        <rFont val="Calibri"/>
        <family val="2"/>
        <charset val="186"/>
      </rPr>
      <t>apk.</t>
    </r>
    <r>
      <rPr>
        <sz val="10"/>
        <color theme="1"/>
        <rFont val="Arial"/>
        <family val="2"/>
        <charset val="186"/>
      </rPr>
      <t>) vasarā</t>
    </r>
  </si>
  <si>
    <t>Dzīvoklis Nr.12 Santa&amp;Valters</t>
  </si>
  <si>
    <r>
      <t>K.ūd.skaitītāja patēriņš (V</t>
    </r>
    <r>
      <rPr>
        <vertAlign val="subscript"/>
        <sz val="11"/>
        <color indexed="8"/>
        <rFont val="Calibri"/>
        <family val="2"/>
        <charset val="186"/>
      </rPr>
      <t>a.ūd.smn.</t>
    </r>
    <r>
      <rPr>
        <sz val="10"/>
        <color theme="1"/>
        <rFont val="Arial"/>
        <family val="2"/>
        <charset val="186"/>
      </rPr>
      <t>)</t>
    </r>
  </si>
  <si>
    <r>
      <t>t</t>
    </r>
    <r>
      <rPr>
        <sz val="11"/>
        <color indexed="8"/>
        <rFont val="Calibri"/>
        <family val="2"/>
        <charset val="186"/>
      </rPr>
      <t>⁰</t>
    </r>
    <r>
      <rPr>
        <vertAlign val="subscript"/>
        <sz val="11"/>
        <color indexed="8"/>
        <rFont val="Calibri"/>
        <family val="2"/>
        <charset val="186"/>
      </rPr>
      <t>k.ūd.</t>
    </r>
  </si>
  <si>
    <r>
      <t>t</t>
    </r>
    <r>
      <rPr>
        <sz val="11"/>
        <color indexed="8"/>
        <rFont val="Calibri"/>
        <family val="2"/>
        <charset val="186"/>
      </rPr>
      <t>⁰</t>
    </r>
    <r>
      <rPr>
        <vertAlign val="subscript"/>
        <sz val="11"/>
        <color indexed="8"/>
        <rFont val="Calibri"/>
        <family val="2"/>
        <charset val="186"/>
      </rPr>
      <t>a.ūd.</t>
    </r>
  </si>
  <si>
    <t>Pagrabs 1/3</t>
  </si>
  <si>
    <r>
      <t>Maksa par cirkulāciju (M</t>
    </r>
    <r>
      <rPr>
        <vertAlign val="subscript"/>
        <sz val="11"/>
        <color indexed="8"/>
        <rFont val="Calibri"/>
        <family val="2"/>
        <charset val="186"/>
      </rPr>
      <t>k.ūd.cirk.</t>
    </r>
    <r>
      <rPr>
        <sz val="10"/>
        <color theme="1"/>
        <rFont val="Arial"/>
        <family val="2"/>
        <charset val="186"/>
      </rPr>
      <t>)</t>
    </r>
  </si>
  <si>
    <t>SE</t>
  </si>
  <si>
    <r>
      <t>Cirkulācija (Q</t>
    </r>
    <r>
      <rPr>
        <vertAlign val="subscript"/>
        <sz val="11"/>
        <color indexed="8"/>
        <rFont val="Calibri"/>
        <family val="2"/>
        <charset val="186"/>
      </rPr>
      <t>cirk.</t>
    </r>
    <r>
      <rPr>
        <sz val="10"/>
        <color theme="1"/>
        <rFont val="Arial"/>
        <family val="2"/>
        <charset val="186"/>
      </rPr>
      <t>)</t>
    </r>
  </si>
  <si>
    <t>difer.</t>
  </si>
  <si>
    <t>izlīdz.</t>
  </si>
  <si>
    <t>Vasaras periodā</t>
  </si>
  <si>
    <r>
      <t>RS kopējais daudzums k.ūd. (Q</t>
    </r>
    <r>
      <rPr>
        <vertAlign val="subscript"/>
        <sz val="11"/>
        <color indexed="8"/>
        <rFont val="Calibri"/>
        <family val="2"/>
        <charset val="186"/>
      </rPr>
      <t>k.ūd.(vas.sez.)</t>
    </r>
    <r>
      <rPr>
        <sz val="10"/>
        <color theme="1"/>
        <rFont val="Arial"/>
        <family val="2"/>
        <charset val="186"/>
      </rPr>
      <t>)</t>
    </r>
  </si>
  <si>
    <t>k.ūd. kubs</t>
  </si>
  <si>
    <t>cirk(3)</t>
  </si>
  <si>
    <r>
      <t>Viena m3 uzsildīšana karstajam ūd. (q</t>
    </r>
    <r>
      <rPr>
        <vertAlign val="subscript"/>
        <sz val="11"/>
        <color indexed="8"/>
        <rFont val="Calibri"/>
        <family val="2"/>
        <charset val="186"/>
      </rPr>
      <t>k.ūd.(vas.sez.)</t>
    </r>
    <r>
      <rPr>
        <sz val="10"/>
        <color theme="1"/>
        <rFont val="Arial"/>
        <family val="2"/>
        <charset val="186"/>
      </rPr>
      <t>)</t>
    </r>
  </si>
  <si>
    <t>x2 kubi</t>
  </si>
  <si>
    <r>
      <t>Patērētās siltumenerģijas daudzums (Q</t>
    </r>
    <r>
      <rPr>
        <vertAlign val="subscript"/>
        <sz val="11"/>
        <color indexed="8"/>
        <rFont val="Calibri"/>
        <family val="2"/>
        <charset val="186"/>
      </rPr>
      <t>ptr.</t>
    </r>
    <r>
      <rPr>
        <sz val="10"/>
        <color theme="1"/>
        <rFont val="Arial"/>
        <family val="2"/>
        <charset val="186"/>
      </rPr>
      <t>)</t>
    </r>
  </si>
  <si>
    <t>cirk(1)</t>
  </si>
  <si>
    <t>Ziemas periodā</t>
  </si>
  <si>
    <r>
      <t>RS  daudzums k.ūd. (Q</t>
    </r>
    <r>
      <rPr>
        <vertAlign val="subscript"/>
        <sz val="11"/>
        <color indexed="8"/>
        <rFont val="Calibri"/>
        <family val="2"/>
        <charset val="186"/>
      </rPr>
      <t>k.ūd.(apk.sez.)</t>
    </r>
    <r>
      <rPr>
        <sz val="10"/>
        <color theme="1"/>
        <rFont val="Arial"/>
        <family val="2"/>
        <charset val="186"/>
      </rPr>
      <t>)</t>
    </r>
  </si>
  <si>
    <r>
      <t>Viena m3 uzsildīšana karstajam ūd. (q</t>
    </r>
    <r>
      <rPr>
        <vertAlign val="subscript"/>
        <sz val="11"/>
        <color indexed="8"/>
        <rFont val="Calibri"/>
        <family val="2"/>
        <charset val="186"/>
      </rPr>
      <t>k.ūd.(apk.sez.)</t>
    </r>
    <r>
      <rPr>
        <sz val="10"/>
        <color theme="1"/>
        <rFont val="Arial"/>
        <family val="2"/>
        <charset val="186"/>
      </rPr>
      <t>)</t>
    </r>
  </si>
  <si>
    <t>cirk(2)</t>
  </si>
  <si>
    <r>
      <t>koriģētais viena kubikmetra aukstā ūdens uzsildīšanai siltummainī patērētās siltumenerģijas daudzums norēķina periodā [MWh/m3] (q</t>
    </r>
    <r>
      <rPr>
        <vertAlign val="subscript"/>
        <sz val="12"/>
        <color indexed="8"/>
        <rFont val="Times New Roman"/>
        <family val="1"/>
        <charset val="186"/>
      </rPr>
      <t>i.krģ.</t>
    </r>
    <r>
      <rPr>
        <sz val="12"/>
        <color indexed="8"/>
        <rFont val="Times New Roman"/>
        <family val="1"/>
        <charset val="186"/>
      </rPr>
      <t>)</t>
    </r>
  </si>
  <si>
    <r>
      <t>viena kubikmetra aukstā ūdens uzsildīšanai siltummainī patērētās siltumenerģijas daudzums karstā ūdens sagatavošanai norēķina periodā [MWh/m</t>
    </r>
    <r>
      <rPr>
        <vertAlign val="superscript"/>
        <sz val="12"/>
        <color indexed="8"/>
        <rFont val="Times New Roman"/>
        <family val="1"/>
        <charset val="186"/>
      </rPr>
      <t>3</t>
    </r>
    <r>
      <rPr>
        <sz val="12"/>
        <color indexed="8"/>
        <rFont val="Times New Roman"/>
        <family val="1"/>
        <charset val="186"/>
      </rPr>
      <t>] (q</t>
    </r>
    <r>
      <rPr>
        <vertAlign val="subscript"/>
        <sz val="12"/>
        <color indexed="8"/>
        <rFont val="Times New Roman"/>
        <family val="1"/>
        <charset val="186"/>
      </rPr>
      <t>i</t>
    </r>
    <r>
      <rPr>
        <sz val="12"/>
        <color indexed="8"/>
        <rFont val="Times New Roman"/>
        <family val="1"/>
        <charset val="186"/>
      </rPr>
      <t>)</t>
    </r>
  </si>
  <si>
    <t>k3</t>
  </si>
  <si>
    <t>koriģ.</t>
  </si>
  <si>
    <r>
      <t>kubikmetrā(m</t>
    </r>
    <r>
      <rPr>
        <vertAlign val="subscript"/>
        <sz val="11"/>
        <color indexed="8"/>
        <rFont val="Calibri"/>
        <family val="2"/>
        <charset val="186"/>
      </rPr>
      <t>k.ūd.</t>
    </r>
    <r>
      <rPr>
        <sz val="10"/>
        <color theme="1"/>
        <rFont val="Arial"/>
        <family val="2"/>
        <charset val="186"/>
      </rPr>
      <t>)</t>
    </r>
  </si>
  <si>
    <r>
      <t>Maksa norēķinu periodā(M</t>
    </r>
    <r>
      <rPr>
        <vertAlign val="subscript"/>
        <sz val="11"/>
        <color indexed="8"/>
        <rFont val="Calibri"/>
        <family val="2"/>
        <charset val="186"/>
      </rPr>
      <t>k.ūd.</t>
    </r>
    <r>
      <rPr>
        <sz val="10"/>
        <color theme="1"/>
        <rFont val="Arial"/>
        <family val="2"/>
        <charset val="186"/>
      </rPr>
      <t>)</t>
    </r>
  </si>
  <si>
    <t>check sum:</t>
  </si>
  <si>
    <t>a.ūd. Karstajam</t>
  </si>
  <si>
    <t>PATĒRIŅI</t>
  </si>
  <si>
    <t>Aukstais ūdens</t>
  </si>
  <si>
    <t>Karstais ūdens</t>
  </si>
  <si>
    <t>Vidējais Rīgas Siltums bez PVN:</t>
  </si>
  <si>
    <r>
      <rPr>
        <sz val="10"/>
        <color indexed="8"/>
        <rFont val="Times New Roman"/>
        <family val="1"/>
        <charset val="186"/>
      </rPr>
      <t>m</t>
    </r>
    <r>
      <rPr>
        <vertAlign val="superscript"/>
        <sz val="10"/>
        <color indexed="8"/>
        <rFont val="Times New Roman"/>
        <family val="1"/>
        <charset val="186"/>
      </rPr>
      <t>3</t>
    </r>
  </si>
  <si>
    <r>
      <rPr>
        <sz val="10"/>
        <color indexed="8"/>
        <rFont val="Times New Roman"/>
        <family val="1"/>
        <charset val="186"/>
      </rPr>
      <t>Koplietošanas elektrība***</t>
    </r>
    <r>
      <rPr>
        <i/>
        <sz val="10"/>
        <color indexed="8"/>
        <rFont val="Times New Roman"/>
        <family val="1"/>
        <charset val="186"/>
      </rPr>
      <t xml:space="preserve"> </t>
    </r>
  </si>
  <si>
    <r>
      <rPr>
        <sz val="10"/>
        <color indexed="8"/>
        <rFont val="Times New Roman"/>
        <family val="1"/>
        <charset val="186"/>
      </rPr>
      <t>m</t>
    </r>
    <r>
      <rPr>
        <vertAlign val="superscript"/>
        <sz val="10"/>
        <color indexed="8"/>
        <rFont val="Times New Roman"/>
        <family val="1"/>
        <charset val="186"/>
      </rPr>
      <t>2</t>
    </r>
  </si>
  <si>
    <t>Summa, EUR</t>
  </si>
  <si>
    <t>Summa EUR</t>
  </si>
  <si>
    <t>Atkritumu izvešana</t>
  </si>
  <si>
    <t>Veikals Nr.2</t>
  </si>
  <si>
    <t>Veikals Nr.1</t>
  </si>
  <si>
    <t>7dz. Hedija</t>
  </si>
  <si>
    <t>8.dz. Zane</t>
  </si>
  <si>
    <t>9.dz.  Zane</t>
  </si>
  <si>
    <t>10.dz. Ilze</t>
  </si>
  <si>
    <t>6.dz.Ilze</t>
  </si>
  <si>
    <t>4.dz. Hedija, Henrijs</t>
  </si>
  <si>
    <t>3.dz.Ligita</t>
  </si>
  <si>
    <t>11.dz.  Kārlis</t>
  </si>
  <si>
    <t>12.dz. Kārlis</t>
  </si>
  <si>
    <t>Apsaimniekošana</t>
  </si>
  <si>
    <t>Atlīdzība/Cits</t>
  </si>
  <si>
    <t>Parāds/Avanss</t>
  </si>
  <si>
    <t>Biedrības rēķini - JĀNOSEDZ!</t>
  </si>
  <si>
    <t>Atlīdzība</t>
  </si>
  <si>
    <t>Piegādātājs: Dzīvokļu īpašnieku biedrība "Brīvības 166"</t>
  </si>
  <si>
    <t>Jur. Adrese: Brīvības 166-4, Rīga</t>
  </si>
  <si>
    <t>Reģ. nr. 40008324442</t>
  </si>
  <si>
    <t>“Swedbank” AS, SWIFT: HABALV22</t>
  </si>
  <si>
    <t>Konts: LV43HABA0551054594820</t>
  </si>
  <si>
    <t>Adrese: Brīvības 166-2, Rīga LV-1012</t>
  </si>
  <si>
    <t>Adrese: Brīvības 166-3, Rīga LV-1012</t>
  </si>
  <si>
    <t>Adrese: Brīvības 166-4, Rīga LV-1012</t>
  </si>
  <si>
    <t>Adrese: Brīvības 166-7, Rīga LV-1012</t>
  </si>
  <si>
    <t>Adrese: Brīvības 166-6, Rīga LV-1012</t>
  </si>
  <si>
    <t>Adrese: Brīvības 166-8, Rīga LV-1012</t>
  </si>
  <si>
    <t>Zane Butina</t>
  </si>
  <si>
    <t>Saņēmējs:</t>
  </si>
  <si>
    <r>
      <t xml:space="preserve">Saņēmējs: </t>
    </r>
    <r>
      <rPr>
        <sz val="10"/>
        <color indexed="8"/>
        <rFont val="Times New Roman"/>
        <family val="1"/>
        <charset val="186"/>
      </rPr>
      <t>Hedija Butina</t>
    </r>
  </si>
  <si>
    <r>
      <t xml:space="preserve">Saņēmējs: </t>
    </r>
    <r>
      <rPr>
        <sz val="10"/>
        <color indexed="8"/>
        <rFont val="Times New Roman"/>
        <family val="1"/>
        <charset val="186"/>
      </rPr>
      <t>Ilze Butina</t>
    </r>
  </si>
  <si>
    <r>
      <t xml:space="preserve">Saņēmējs: </t>
    </r>
    <r>
      <rPr>
        <sz val="10"/>
        <color indexed="8"/>
        <rFont val="Times New Roman"/>
        <family val="1"/>
        <charset val="186"/>
      </rPr>
      <t>Ligita Loeve</t>
    </r>
  </si>
  <si>
    <r>
      <t xml:space="preserve">Saņēmējs: </t>
    </r>
    <r>
      <rPr>
        <sz val="10"/>
        <color indexed="8"/>
        <rFont val="Times New Roman"/>
        <family val="1"/>
        <charset val="186"/>
      </rPr>
      <t>Zane Butina</t>
    </r>
  </si>
  <si>
    <t>Adrese: Brīvības 166-9, Rīga LV-1012</t>
  </si>
  <si>
    <t>Adrese: Brīvības 166-10, Rīga LV-1012</t>
  </si>
  <si>
    <t>Saņēmējs: Kārlis Butins</t>
  </si>
  <si>
    <t>Adrese: Brīvības 166-11, Rīga LV-1012</t>
  </si>
  <si>
    <t>Adrese: Brīvības 166-12, Rīga LV-1012</t>
  </si>
  <si>
    <r>
      <t xml:space="preserve">Saņēmējs: </t>
    </r>
    <r>
      <rPr>
        <b/>
        <sz val="10"/>
        <color indexed="8"/>
        <rFont val="Times New Roman"/>
        <family val="1"/>
        <charset val="186"/>
      </rPr>
      <t>Ilze Butina</t>
    </r>
  </si>
  <si>
    <t>Adrese: Brīvības 166-1A, Rīga LV-1012</t>
  </si>
  <si>
    <t>Remontdarbu fonds</t>
  </si>
  <si>
    <t>Koplietošanas elektrība</t>
  </si>
  <si>
    <t xml:space="preserve">Koplietošanas elektrība: </t>
  </si>
  <si>
    <t>Atkritumi:</t>
  </si>
  <si>
    <t>Apsaimniekošanas un siltummezgla apkalpošanas ieņēmumi</t>
  </si>
  <si>
    <t>Aleksandrs</t>
  </si>
  <si>
    <t>Ksenija</t>
  </si>
  <si>
    <t>Atlikums:</t>
  </si>
  <si>
    <t>Pārvaldīšanas atlīdzības izmaksa bruto</t>
  </si>
  <si>
    <t xml:space="preserve">Darba devēja sociālais </t>
  </si>
  <si>
    <t>net izmaksa</t>
  </si>
  <si>
    <t>Atlikums mēneša beigās</t>
  </si>
  <si>
    <t>pārvald</t>
  </si>
  <si>
    <t>sētn</t>
  </si>
  <si>
    <t>Petrovs</t>
  </si>
  <si>
    <t>nodokļi</t>
  </si>
  <si>
    <t>Nodokļi</t>
  </si>
  <si>
    <t>Apsaimniekošanas atlikums</t>
  </si>
  <si>
    <t>Apsaimniekošanas un siltummezgla reālais ienākums</t>
  </si>
  <si>
    <t>Apsaimniekošanas atlaide</t>
  </si>
  <si>
    <t xml:space="preserve">Apsaimniekošanas atlaide </t>
  </si>
  <si>
    <r>
      <t xml:space="preserve">Saņēmējs: </t>
    </r>
    <r>
      <rPr>
        <b/>
        <sz val="10"/>
        <color indexed="8"/>
        <rFont val="Times New Roman"/>
        <family val="1"/>
        <charset val="186"/>
      </rPr>
      <t>Kārlis Butins</t>
    </r>
  </si>
  <si>
    <t>Siltums veikali EUR:</t>
  </si>
  <si>
    <t>Siltums dzīvokļi EUR:</t>
  </si>
  <si>
    <t>veikali</t>
  </si>
  <si>
    <t>dzīvokļi</t>
  </si>
  <si>
    <t>dzīvokļi apk.</t>
  </si>
  <si>
    <t>veikali apk. Ar pvn</t>
  </si>
  <si>
    <t>bez pvn 12%</t>
  </si>
  <si>
    <t>Apkure veikali</t>
  </si>
  <si>
    <t>Apkure dzīvokļi</t>
  </si>
  <si>
    <r>
      <t xml:space="preserve">Saņēmējs: </t>
    </r>
    <r>
      <rPr>
        <sz val="10"/>
        <color indexed="8"/>
        <rFont val="Times New Roman"/>
        <family val="1"/>
        <charset val="186"/>
      </rPr>
      <t>Aleksandrs Labada</t>
    </r>
  </si>
  <si>
    <t>Dzīvoklis Nr.12 Māris&amp;Ruta</t>
  </si>
  <si>
    <t>EUR</t>
  </si>
  <si>
    <r>
      <t xml:space="preserve">Saņēmējs: </t>
    </r>
    <r>
      <rPr>
        <sz val="10"/>
        <color indexed="8"/>
        <rFont val="Times New Roman"/>
        <family val="1"/>
        <charset val="186"/>
      </rPr>
      <t>Kārlis Butins</t>
    </r>
  </si>
  <si>
    <t>Mēnesis</t>
  </si>
  <si>
    <t>Apkurei Q</t>
  </si>
  <si>
    <r>
      <t xml:space="preserve">Saņēmējs: </t>
    </r>
    <r>
      <rPr>
        <sz val="10"/>
        <color indexed="8"/>
        <rFont val="Times New Roman"/>
        <family val="1"/>
        <charset val="186"/>
      </rPr>
      <t>Ksenija Labada</t>
    </r>
  </si>
  <si>
    <t>vienības</t>
  </si>
  <si>
    <t xml:space="preserve">**** Apkures patēriņa daļas sadalījuma % atkarīgs no vidējās mēneša temperatūras </t>
  </si>
  <si>
    <t>Alokatoru apkalpošana</t>
  </si>
  <si>
    <t>Alokatori: platības tarifs dz</t>
  </si>
  <si>
    <t>Alokatori: vienības cena dz</t>
  </si>
  <si>
    <t>Alokatori: platības tarifs saimn</t>
  </si>
  <si>
    <t>Alokatori: vienības cena saimn</t>
  </si>
  <si>
    <t>Dzīvoklis Nr.11  Monta&amp;Eduards</t>
  </si>
  <si>
    <t>Kopā</t>
  </si>
  <si>
    <t>Avansā</t>
  </si>
  <si>
    <t>Parāds:</t>
  </si>
  <si>
    <t>Summa samaksai kopā:</t>
  </si>
  <si>
    <t xml:space="preserve">        </t>
  </si>
  <si>
    <t>Iedzīvotāji</t>
  </si>
  <si>
    <t>8dz.. Zane</t>
  </si>
  <si>
    <t>Mērķfonds</t>
  </si>
  <si>
    <t>***** Saskaņā ar 11.06.2025. balsojumu</t>
  </si>
  <si>
    <t>Dzīvoklis Nr.9 Mārtiņš</t>
  </si>
  <si>
    <t>Summa:</t>
  </si>
  <si>
    <t>Dzīvoklis Nr.10 Anna</t>
  </si>
  <si>
    <t>MARTS</t>
  </si>
  <si>
    <t>martā</t>
  </si>
  <si>
    <t>APRĪLIS</t>
  </si>
  <si>
    <t>04</t>
  </si>
  <si>
    <t>MAIJS</t>
  </si>
  <si>
    <t>Apkure kvm 40%</t>
  </si>
  <si>
    <t>Apkure Alokatori 60%</t>
  </si>
  <si>
    <t>Piecdesmit seši eiro, 64 centi</t>
  </si>
  <si>
    <t>Viens simts četrdesmit pieci eiro, 61 cents</t>
  </si>
  <si>
    <t>Divi simti astoņpadsmit eiro, 76 centi</t>
  </si>
  <si>
    <t>Viens simts piecpadsmit eiro, 12 centi</t>
  </si>
  <si>
    <t>Divdesmit eiro, 66 centi</t>
  </si>
  <si>
    <t>Viens simts astoņpadsmit eiro, 63 centi</t>
  </si>
  <si>
    <t>Deviņdesmit pieci eiro, 45 centi</t>
  </si>
  <si>
    <t>Četrdesmit trīs eiro, 34 centi</t>
  </si>
  <si>
    <t>Septiņdesmit trīs eiro, 98 centi</t>
  </si>
  <si>
    <t>Divi simti divpadsmit eiro, 23 centi</t>
  </si>
  <si>
    <t>Viens simts septiņdesmit četri eiro, 90 centi</t>
  </si>
  <si>
    <t>Četrdesmit eiro, 06 centi</t>
  </si>
  <si>
    <t>aprīlis</t>
  </si>
  <si>
    <t>Apkure (kopējā) 40%</t>
  </si>
  <si>
    <t>Apkure (patēriņš) 60% 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</si>
</sst>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0.0000"/>
    <numFmt numFmtId="166" formatCode="&quot;Ls&quot;\ #,##0.00"/>
    <numFmt numFmtId="167" formatCode="0.000000"/>
    <numFmt numFmtId="168" formatCode="0.00000"/>
    <numFmt numFmtId="169" formatCode="#,##0.00\ [$€-1]"/>
    <numFmt numFmtId="170" formatCode="[$€-2]\ #,##0.00"/>
    <numFmt numFmtId="171" formatCode="[$-F800]dddd\,\ mmmm\ dd\,\ yyyy"/>
    <numFmt numFmtId="172" formatCode="0.0000E+00"/>
    <numFmt numFmtId="173" formatCode="0.000E+00"/>
  </numFmts>
  <fonts count="49" x14ac:knownFonts="1">
    <font>
      <sz val="10"/>
      <color theme="1"/>
      <name val="Arial"/>
      <family val="2"/>
      <charset val="186"/>
    </font>
    <font>
      <sz val="10"/>
      <color indexed="8"/>
      <name val="Arial"/>
      <family val="2"/>
      <charset val="186"/>
    </font>
    <font>
      <vertAlign val="subscript"/>
      <sz val="11"/>
      <color indexed="8"/>
      <name val="Calibri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2"/>
      <name val="Arial"/>
      <family val="2"/>
      <charset val="186"/>
    </font>
    <font>
      <b/>
      <sz val="10"/>
      <color indexed="8"/>
      <name val="Arial"/>
      <family val="2"/>
      <charset val="186"/>
    </font>
    <font>
      <b/>
      <sz val="14"/>
      <color indexed="8"/>
      <name val="Arial"/>
      <family val="2"/>
      <charset val="186"/>
    </font>
    <font>
      <i/>
      <sz val="10"/>
      <color indexed="8"/>
      <name val="Arial"/>
      <family val="2"/>
      <charset val="186"/>
    </font>
    <font>
      <b/>
      <sz val="11"/>
      <name val="Calibri"/>
      <family val="2"/>
      <charset val="186"/>
    </font>
    <font>
      <b/>
      <sz val="11"/>
      <color indexed="8"/>
      <name val="Calibri"/>
      <family val="2"/>
      <charset val="186"/>
    </font>
    <font>
      <sz val="8"/>
      <name val="Arial"/>
      <family val="2"/>
      <charset val="186"/>
    </font>
    <font>
      <b/>
      <sz val="10"/>
      <color indexed="8"/>
      <name val="Calibri"/>
      <family val="2"/>
      <charset val="186"/>
    </font>
    <font>
      <sz val="10"/>
      <color indexed="8"/>
      <name val="Times New Roman"/>
      <family val="1"/>
      <charset val="186"/>
    </font>
    <font>
      <i/>
      <sz val="10"/>
      <color indexed="8"/>
      <name val="Times New Roman"/>
      <family val="1"/>
      <charset val="186"/>
    </font>
    <font>
      <vertAlign val="superscript"/>
      <sz val="10"/>
      <color indexed="8"/>
      <name val="Times New Roman"/>
      <family val="1"/>
      <charset val="186"/>
    </font>
    <font>
      <b/>
      <sz val="10"/>
      <color indexed="8"/>
      <name val="Times New Roman"/>
      <family val="1"/>
      <charset val="186"/>
    </font>
    <font>
      <vertAlign val="subscript"/>
      <sz val="12"/>
      <color indexed="8"/>
      <name val="Times New Roman"/>
      <family val="1"/>
      <charset val="186"/>
    </font>
    <font>
      <sz val="12"/>
      <color indexed="8"/>
      <name val="Times New Roman"/>
      <family val="1"/>
      <charset val="186"/>
    </font>
    <font>
      <sz val="11"/>
      <color indexed="8"/>
      <name val="Calibri"/>
      <family val="2"/>
      <charset val="186"/>
    </font>
    <font>
      <vertAlign val="superscript"/>
      <sz val="12"/>
      <color indexed="8"/>
      <name val="Times New Roman"/>
      <family val="1"/>
      <charset val="186"/>
    </font>
    <font>
      <sz val="10"/>
      <name val="Arial"/>
      <family val="2"/>
      <charset val="186"/>
    </font>
    <font>
      <sz val="12"/>
      <color indexed="8"/>
      <name val="Arial"/>
      <family val="2"/>
      <charset val="186"/>
    </font>
    <font>
      <sz val="10"/>
      <color indexed="8"/>
      <name val="Arial"/>
      <family val="2"/>
    </font>
    <font>
      <sz val="10"/>
      <color rgb="FF006100"/>
      <name val="Arial"/>
      <family val="2"/>
      <charset val="186"/>
    </font>
    <font>
      <u/>
      <sz val="10"/>
      <color theme="10"/>
      <name val="Arial"/>
      <family val="2"/>
      <charset val="186"/>
    </font>
    <font>
      <i/>
      <sz val="10"/>
      <color theme="1"/>
      <name val="Arial"/>
      <family val="2"/>
      <charset val="186"/>
    </font>
    <font>
      <b/>
      <sz val="10"/>
      <color theme="1"/>
      <name val="Arial"/>
      <family val="2"/>
      <charset val="186"/>
    </font>
    <font>
      <b/>
      <sz val="12"/>
      <color theme="1"/>
      <name val="Arial"/>
      <family val="2"/>
      <charset val="186"/>
    </font>
    <font>
      <b/>
      <sz val="16"/>
      <color theme="1"/>
      <name val="Arial"/>
      <family val="2"/>
      <charset val="186"/>
    </font>
    <font>
      <b/>
      <i/>
      <sz val="10"/>
      <color theme="1"/>
      <name val="Arial"/>
      <family val="2"/>
      <charset val="186"/>
    </font>
    <font>
      <b/>
      <sz val="10"/>
      <color theme="1"/>
      <name val="Times New Roman"/>
      <family val="1"/>
      <charset val="186"/>
    </font>
    <font>
      <sz val="10"/>
      <color theme="1"/>
      <name val="Times New Roman"/>
      <family val="1"/>
      <charset val="186"/>
    </font>
    <font>
      <b/>
      <i/>
      <sz val="10"/>
      <color rgb="FFFF0000"/>
      <name val="Times New Roman"/>
      <family val="1"/>
      <charset val="186"/>
    </font>
    <font>
      <i/>
      <sz val="10"/>
      <color theme="1"/>
      <name val="Times New Roman"/>
      <family val="1"/>
      <charset val="186"/>
    </font>
    <font>
      <sz val="11"/>
      <color theme="1"/>
      <name val="Arial Narrow"/>
      <family val="2"/>
      <charset val="186"/>
    </font>
    <font>
      <sz val="12"/>
      <color theme="1"/>
      <name val="Times New Roman"/>
      <family val="1"/>
      <charset val="186"/>
    </font>
    <font>
      <i/>
      <sz val="11"/>
      <color theme="1"/>
      <name val="Calibri"/>
      <family val="2"/>
      <charset val="186"/>
      <scheme val="minor"/>
    </font>
    <font>
      <b/>
      <sz val="18"/>
      <color theme="5" tint="0.39997558519241921"/>
      <name val="Calibri"/>
      <family val="2"/>
      <charset val="186"/>
      <scheme val="minor"/>
    </font>
    <font>
      <b/>
      <sz val="11"/>
      <color theme="1"/>
      <name val="Arial Narrow"/>
      <family val="2"/>
      <charset val="186"/>
    </font>
    <font>
      <b/>
      <sz val="11"/>
      <color theme="1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b/>
      <sz val="12"/>
      <color rgb="FFFF0000"/>
      <name val="Calibri"/>
      <family val="2"/>
      <charset val="186"/>
      <scheme val="minor"/>
    </font>
    <font>
      <b/>
      <sz val="12"/>
      <name val="Calibri"/>
      <family val="2"/>
      <charset val="186"/>
      <scheme val="minor"/>
    </font>
    <font>
      <sz val="11"/>
      <color theme="0" tint="-0.34998626667073579"/>
      <name val="Calibri"/>
      <family val="2"/>
      <charset val="186"/>
      <scheme val="minor"/>
    </font>
    <font>
      <sz val="9"/>
      <color theme="1"/>
      <name val="Times New Roman"/>
      <family val="1"/>
      <charset val="186"/>
    </font>
    <font>
      <sz val="10"/>
      <color rgb="FFFF0000"/>
      <name val="Arial"/>
      <family val="2"/>
      <charset val="186"/>
    </font>
    <font>
      <b/>
      <sz val="14"/>
      <color rgb="FFFF0000"/>
      <name val="Calibri"/>
      <family val="2"/>
      <charset val="186"/>
      <scheme val="minor"/>
    </font>
    <font>
      <b/>
      <sz val="9"/>
      <color theme="1"/>
      <name val="Times New Roman"/>
      <family val="1"/>
      <charset val="186"/>
    </font>
  </fonts>
  <fills count="10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3">
    <xf numFmtId="0" fontId="0" fillId="0" borderId="0"/>
    <xf numFmtId="0" fontId="24" fillId="4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191">
    <xf numFmtId="0" fontId="0" fillId="0" borderId="0" xfId="0"/>
    <xf numFmtId="2" fontId="0" fillId="0" borderId="0" xfId="0" applyNumberFormat="1"/>
    <xf numFmtId="0" fontId="6" fillId="0" borderId="0" xfId="0" applyFont="1"/>
    <xf numFmtId="2" fontId="6" fillId="0" borderId="0" xfId="0" applyNumberFormat="1" applyFont="1"/>
    <xf numFmtId="0" fontId="7" fillId="0" borderId="0" xfId="0" applyFont="1"/>
    <xf numFmtId="2" fontId="7" fillId="0" borderId="0" xfId="0" applyNumberFormat="1" applyFont="1"/>
    <xf numFmtId="166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3" fillId="3" borderId="0" xfId="0" applyFont="1" applyFill="1"/>
    <xf numFmtId="2" fontId="3" fillId="3" borderId="0" xfId="0" applyNumberFormat="1" applyFont="1" applyFill="1"/>
    <xf numFmtId="2" fontId="4" fillId="3" borderId="0" xfId="0" applyNumberFormat="1" applyFont="1" applyFill="1"/>
    <xf numFmtId="0" fontId="9" fillId="0" borderId="0" xfId="0" applyFont="1"/>
    <xf numFmtId="2" fontId="10" fillId="0" borderId="0" xfId="0" applyNumberFormat="1" applyFont="1"/>
    <xf numFmtId="2" fontId="26" fillId="0" borderId="0" xfId="0" applyNumberFormat="1" applyFont="1"/>
    <xf numFmtId="2" fontId="27" fillId="0" borderId="0" xfId="0" applyNumberFormat="1" applyFont="1"/>
    <xf numFmtId="0" fontId="27" fillId="0" borderId="0" xfId="0" applyFont="1"/>
    <xf numFmtId="169" fontId="0" fillId="0" borderId="0" xfId="0" applyNumberFormat="1"/>
    <xf numFmtId="170" fontId="0" fillId="0" borderId="0" xfId="0" applyNumberFormat="1"/>
    <xf numFmtId="2" fontId="1" fillId="0" borderId="0" xfId="0" applyNumberFormat="1" applyFont="1"/>
    <xf numFmtId="0" fontId="5" fillId="5" borderId="0" xfId="0" applyFont="1" applyFill="1"/>
    <xf numFmtId="0" fontId="28" fillId="6" borderId="0" xfId="0" applyFont="1" applyFill="1"/>
    <xf numFmtId="2" fontId="28" fillId="0" borderId="0" xfId="0" applyNumberFormat="1" applyFont="1"/>
    <xf numFmtId="0" fontId="0" fillId="0" borderId="1" xfId="0" applyBorder="1"/>
    <xf numFmtId="0" fontId="28" fillId="0" borderId="1" xfId="0" applyFont="1" applyBorder="1"/>
    <xf numFmtId="0" fontId="27" fillId="0" borderId="1" xfId="0" applyFont="1" applyBorder="1"/>
    <xf numFmtId="0" fontId="29" fillId="0" borderId="1" xfId="0" applyFont="1" applyBorder="1"/>
    <xf numFmtId="164" fontId="0" fillId="0" borderId="0" xfId="0" applyNumberFormat="1"/>
    <xf numFmtId="0" fontId="0" fillId="0" borderId="0" xfId="0" quotePrefix="1"/>
    <xf numFmtId="1" fontId="9" fillId="0" borderId="0" xfId="0" applyNumberFormat="1" applyFont="1"/>
    <xf numFmtId="165" fontId="0" fillId="0" borderId="0" xfId="0" applyNumberFormat="1"/>
    <xf numFmtId="0" fontId="30" fillId="0" borderId="0" xfId="0" applyFont="1"/>
    <xf numFmtId="2" fontId="30" fillId="0" borderId="0" xfId="0" applyNumberFormat="1" applyFont="1"/>
    <xf numFmtId="0" fontId="26" fillId="0" borderId="0" xfId="0" applyFont="1"/>
    <xf numFmtId="168" fontId="0" fillId="0" borderId="0" xfId="0" applyNumberFormat="1"/>
    <xf numFmtId="2" fontId="0" fillId="0" borderId="2" xfId="0" applyNumberFormat="1" applyBorder="1"/>
    <xf numFmtId="0" fontId="1" fillId="0" borderId="0" xfId="0" applyFont="1"/>
    <xf numFmtId="0" fontId="0" fillId="0" borderId="2" xfId="0" applyBorder="1"/>
    <xf numFmtId="2" fontId="4" fillId="0" borderId="0" xfId="0" applyNumberFormat="1" applyFont="1"/>
    <xf numFmtId="0" fontId="31" fillId="0" borderId="0" xfId="0" applyFont="1"/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14" fontId="0" fillId="0" borderId="0" xfId="0" applyNumberFormat="1"/>
    <xf numFmtId="0" fontId="32" fillId="0" borderId="3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right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right" vertical="center" wrapText="1"/>
    </xf>
    <xf numFmtId="0" fontId="32" fillId="0" borderId="0" xfId="0" applyFont="1" applyAlignment="1">
      <alignment horizontal="left" vertical="center" indent="1"/>
    </xf>
    <xf numFmtId="0" fontId="33" fillId="0" borderId="0" xfId="0" applyFont="1" applyAlignment="1">
      <alignment vertical="center"/>
    </xf>
    <xf numFmtId="0" fontId="25" fillId="0" borderId="0" xfId="2" applyAlignment="1">
      <alignment vertical="center"/>
    </xf>
    <xf numFmtId="2" fontId="32" fillId="0" borderId="3" xfId="0" applyNumberFormat="1" applyFont="1" applyBorder="1" applyAlignment="1">
      <alignment horizontal="right" vertical="center" wrapText="1"/>
    </xf>
    <xf numFmtId="2" fontId="32" fillId="0" borderId="4" xfId="0" applyNumberFormat="1" applyFont="1" applyBorder="1" applyAlignment="1">
      <alignment horizontal="right" vertical="center" wrapText="1"/>
    </xf>
    <xf numFmtId="0" fontId="32" fillId="0" borderId="5" xfId="0" applyFont="1" applyBorder="1" applyAlignment="1">
      <alignment horizontal="center" vertical="center" wrapText="1"/>
    </xf>
    <xf numFmtId="0" fontId="32" fillId="0" borderId="0" xfId="0" applyFont="1"/>
    <xf numFmtId="165" fontId="32" fillId="0" borderId="3" xfId="0" applyNumberFormat="1" applyFont="1" applyBorder="1" applyAlignment="1">
      <alignment horizontal="right" vertical="center" wrapText="1"/>
    </xf>
    <xf numFmtId="0" fontId="32" fillId="0" borderId="0" xfId="0" applyFont="1" applyAlignment="1">
      <alignment horizontal="center" vertical="center" wrapText="1"/>
    </xf>
    <xf numFmtId="2" fontId="31" fillId="0" borderId="4" xfId="0" applyNumberFormat="1" applyFont="1" applyBorder="1" applyAlignment="1">
      <alignment vertical="center" wrapText="1"/>
    </xf>
    <xf numFmtId="0" fontId="31" fillId="0" borderId="0" xfId="0" applyFont="1" applyAlignment="1">
      <alignment horizontal="right" vertical="center" indent="1"/>
    </xf>
    <xf numFmtId="0" fontId="34" fillId="0" borderId="0" xfId="0" applyFont="1"/>
    <xf numFmtId="2" fontId="31" fillId="0" borderId="2" xfId="0" applyNumberFormat="1" applyFont="1" applyBorder="1" applyAlignment="1">
      <alignment vertical="center" wrapText="1"/>
    </xf>
    <xf numFmtId="0" fontId="32" fillId="0" borderId="6" xfId="0" applyFont="1" applyBorder="1" applyAlignment="1">
      <alignment horizontal="center" vertical="center" wrapText="1"/>
    </xf>
    <xf numFmtId="165" fontId="32" fillId="0" borderId="4" xfId="0" applyNumberFormat="1" applyFont="1" applyBorder="1" applyAlignment="1">
      <alignment horizontal="right" vertical="center" wrapText="1"/>
    </xf>
    <xf numFmtId="2" fontId="32" fillId="0" borderId="5" xfId="0" applyNumberFormat="1" applyFont="1" applyBorder="1" applyAlignment="1">
      <alignment horizontal="right" vertical="center" wrapText="1"/>
    </xf>
    <xf numFmtId="0" fontId="32" fillId="0" borderId="6" xfId="0" applyFont="1" applyBorder="1" applyAlignment="1">
      <alignment horizontal="right" vertical="center" wrapText="1"/>
    </xf>
    <xf numFmtId="0" fontId="35" fillId="0" borderId="7" xfId="0" applyFont="1" applyBorder="1"/>
    <xf numFmtId="2" fontId="35" fillId="0" borderId="8" xfId="0" applyNumberFormat="1" applyFont="1" applyBorder="1"/>
    <xf numFmtId="2" fontId="35" fillId="0" borderId="9" xfId="0" applyNumberFormat="1" applyFont="1" applyBorder="1"/>
    <xf numFmtId="0" fontId="36" fillId="0" borderId="0" xfId="0" applyFont="1"/>
    <xf numFmtId="0" fontId="37" fillId="0" borderId="0" xfId="0" applyFont="1"/>
    <xf numFmtId="172" fontId="0" fillId="0" borderId="0" xfId="0" applyNumberFormat="1"/>
    <xf numFmtId="173" fontId="0" fillId="0" borderId="0" xfId="0" applyNumberFormat="1"/>
    <xf numFmtId="2" fontId="38" fillId="0" borderId="0" xfId="0" applyNumberFormat="1" applyFont="1"/>
    <xf numFmtId="0" fontId="35" fillId="0" borderId="10" xfId="0" applyFont="1" applyBorder="1"/>
    <xf numFmtId="0" fontId="39" fillId="0" borderId="0" xfId="0" applyFont="1"/>
    <xf numFmtId="2" fontId="40" fillId="0" borderId="0" xfId="0" applyNumberFormat="1" applyFont="1"/>
    <xf numFmtId="0" fontId="40" fillId="0" borderId="0" xfId="0" applyFont="1"/>
    <xf numFmtId="0" fontId="38" fillId="0" borderId="0" xfId="0" applyFont="1"/>
    <xf numFmtId="0" fontId="0" fillId="0" borderId="0" xfId="0" applyAlignment="1">
      <alignment horizontal="right"/>
    </xf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2" fontId="32" fillId="0" borderId="21" xfId="0" applyNumberFormat="1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 wrapText="1"/>
    </xf>
    <xf numFmtId="0" fontId="21" fillId="0" borderId="0" xfId="0" applyFont="1"/>
    <xf numFmtId="2" fontId="31" fillId="0" borderId="3" xfId="0" applyNumberFormat="1" applyFont="1" applyBorder="1" applyAlignment="1">
      <alignment vertical="center" wrapText="1"/>
    </xf>
    <xf numFmtId="2" fontId="31" fillId="0" borderId="0" xfId="0" applyNumberFormat="1" applyFont="1" applyAlignment="1">
      <alignment vertical="center" wrapText="1"/>
    </xf>
    <xf numFmtId="2" fontId="31" fillId="0" borderId="11" xfId="0" applyNumberFormat="1" applyFont="1" applyBorder="1" applyAlignment="1">
      <alignment vertical="center" wrapText="1"/>
    </xf>
    <xf numFmtId="0" fontId="28" fillId="0" borderId="0" xfId="0" applyFont="1"/>
    <xf numFmtId="2" fontId="31" fillId="0" borderId="5" xfId="0" applyNumberFormat="1" applyFont="1" applyBorder="1" applyAlignment="1">
      <alignment vertical="center" wrapText="1"/>
    </xf>
    <xf numFmtId="2" fontId="0" fillId="0" borderId="0" xfId="0" quotePrefix="1" applyNumberFormat="1"/>
    <xf numFmtId="0" fontId="6" fillId="0" borderId="0" xfId="0" quotePrefix="1" applyFont="1"/>
    <xf numFmtId="2" fontId="3" fillId="0" borderId="0" xfId="0" applyNumberFormat="1" applyFont="1"/>
    <xf numFmtId="0" fontId="24" fillId="0" borderId="0" xfId="1" applyFill="1"/>
    <xf numFmtId="2" fontId="24" fillId="0" borderId="0" xfId="1" applyNumberFormat="1" applyFill="1"/>
    <xf numFmtId="0" fontId="32" fillId="0" borderId="12" xfId="0" applyFont="1" applyBorder="1" applyAlignment="1">
      <alignment horizontal="left" vertical="center" wrapText="1"/>
    </xf>
    <xf numFmtId="0" fontId="32" fillId="0" borderId="3" xfId="0" applyFont="1" applyBorder="1" applyAlignment="1">
      <alignment horizontal="left" vertical="center" wrapText="1"/>
    </xf>
    <xf numFmtId="0" fontId="45" fillId="0" borderId="3" xfId="0" applyFont="1" applyBorder="1" applyAlignment="1">
      <alignment horizontal="center" vertical="center" wrapText="1"/>
    </xf>
    <xf numFmtId="0" fontId="45" fillId="0" borderId="3" xfId="0" applyFont="1" applyBorder="1" applyAlignment="1">
      <alignment horizontal="right" vertical="center" wrapText="1"/>
    </xf>
    <xf numFmtId="2" fontId="45" fillId="0" borderId="3" xfId="0" applyNumberFormat="1" applyFont="1" applyBorder="1" applyAlignment="1">
      <alignment horizontal="right" vertical="center" wrapText="1"/>
    </xf>
    <xf numFmtId="2" fontId="31" fillId="0" borderId="6" xfId="0" applyNumberFormat="1" applyFont="1" applyBorder="1" applyAlignment="1">
      <alignment vertical="center" wrapText="1"/>
    </xf>
    <xf numFmtId="2" fontId="32" fillId="0" borderId="0" xfId="0" applyNumberFormat="1" applyFont="1" applyAlignment="1">
      <alignment horizontal="right" vertical="center" wrapText="1"/>
    </xf>
    <xf numFmtId="2" fontId="31" fillId="0" borderId="2" xfId="0" applyNumberFormat="1" applyFont="1" applyBorder="1" applyAlignment="1">
      <alignment horizontal="right" vertical="center" wrapText="1"/>
    </xf>
    <xf numFmtId="0" fontId="45" fillId="0" borderId="11" xfId="0" applyFont="1" applyBorder="1" applyAlignment="1">
      <alignment horizontal="right" vertical="center" wrapText="1"/>
    </xf>
    <xf numFmtId="0" fontId="32" fillId="0" borderId="13" xfId="0" applyFont="1" applyBorder="1" applyAlignment="1">
      <alignment horizontal="center" vertical="center" wrapText="1"/>
    </xf>
    <xf numFmtId="0" fontId="45" fillId="0" borderId="13" xfId="0" applyFont="1" applyBorder="1" applyAlignment="1">
      <alignment horizontal="center" vertical="center" wrapText="1"/>
    </xf>
    <xf numFmtId="2" fontId="45" fillId="0" borderId="13" xfId="0" applyNumberFormat="1" applyFont="1" applyBorder="1" applyAlignment="1">
      <alignment horizontal="right" vertical="center" wrapText="1"/>
    </xf>
    <xf numFmtId="0" fontId="32" fillId="0" borderId="5" xfId="0" applyFont="1" applyBorder="1" applyAlignment="1">
      <alignment horizontal="right" vertical="center" wrapText="1"/>
    </xf>
    <xf numFmtId="164" fontId="7" fillId="0" borderId="0" xfId="0" applyNumberFormat="1" applyFont="1"/>
    <xf numFmtId="0" fontId="8" fillId="7" borderId="0" xfId="0" applyFont="1" applyFill="1"/>
    <xf numFmtId="2" fontId="0" fillId="8" borderId="0" xfId="0" applyNumberFormat="1" applyFill="1"/>
    <xf numFmtId="2" fontId="22" fillId="0" borderId="0" xfId="0" applyNumberFormat="1" applyFont="1"/>
    <xf numFmtId="2" fontId="0" fillId="7" borderId="0" xfId="0" applyNumberFormat="1" applyFill="1"/>
    <xf numFmtId="2" fontId="8" fillId="7" borderId="0" xfId="0" applyNumberFormat="1" applyFont="1" applyFill="1"/>
    <xf numFmtId="164" fontId="29" fillId="0" borderId="1" xfId="0" applyNumberFormat="1" applyFont="1" applyBorder="1"/>
    <xf numFmtId="2" fontId="32" fillId="0" borderId="3" xfId="0" applyNumberFormat="1" applyFont="1" applyBorder="1" applyAlignment="1">
      <alignment horizontal="center" vertical="center" wrapText="1"/>
    </xf>
    <xf numFmtId="0" fontId="45" fillId="0" borderId="12" xfId="0" applyFont="1" applyBorder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  <xf numFmtId="0" fontId="45" fillId="0" borderId="3" xfId="0" applyFont="1" applyBorder="1" applyAlignment="1">
      <alignment horizontal="left" vertical="center" wrapText="1"/>
    </xf>
    <xf numFmtId="0" fontId="0" fillId="9" borderId="0" xfId="0" applyFill="1"/>
    <xf numFmtId="2" fontId="0" fillId="9" borderId="0" xfId="0" applyNumberFormat="1" applyFill="1"/>
    <xf numFmtId="2" fontId="46" fillId="9" borderId="0" xfId="0" applyNumberFormat="1" applyFont="1" applyFill="1"/>
    <xf numFmtId="2" fontId="3" fillId="9" borderId="0" xfId="0" applyNumberFormat="1" applyFont="1" applyFill="1"/>
    <xf numFmtId="2" fontId="4" fillId="9" borderId="0" xfId="0" applyNumberFormat="1" applyFont="1" applyFill="1"/>
    <xf numFmtId="167" fontId="0" fillId="0" borderId="0" xfId="0" applyNumberFormat="1"/>
    <xf numFmtId="167" fontId="47" fillId="0" borderId="0" xfId="0" applyNumberFormat="1" applyFont="1"/>
    <xf numFmtId="2" fontId="32" fillId="0" borderId="6" xfId="0" applyNumberFormat="1" applyFont="1" applyBorder="1" applyAlignment="1">
      <alignment horizontal="right" vertical="center" wrapText="1"/>
    </xf>
    <xf numFmtId="0" fontId="45" fillId="0" borderId="14" xfId="0" applyFont="1" applyBorder="1" applyAlignment="1">
      <alignment horizontal="center" vertical="center" wrapText="1"/>
    </xf>
    <xf numFmtId="0" fontId="45" fillId="0" borderId="15" xfId="0" applyFont="1" applyBorder="1" applyAlignment="1">
      <alignment horizontal="center" vertical="center" wrapText="1"/>
    </xf>
    <xf numFmtId="2" fontId="45" fillId="0" borderId="16" xfId="0" applyNumberFormat="1" applyFont="1" applyBorder="1" applyAlignment="1">
      <alignment horizontal="right" vertical="center" wrapText="1"/>
    </xf>
    <xf numFmtId="2" fontId="45" fillId="0" borderId="14" xfId="0" applyNumberFormat="1" applyFont="1" applyBorder="1" applyAlignment="1">
      <alignment horizontal="right" vertical="center" wrapText="1"/>
    </xf>
    <xf numFmtId="0" fontId="45" fillId="0" borderId="13" xfId="0" applyFont="1" applyBorder="1" applyAlignment="1">
      <alignment horizontal="right" vertical="center" wrapText="1"/>
    </xf>
    <xf numFmtId="165" fontId="32" fillId="0" borderId="6" xfId="0" applyNumberFormat="1" applyFont="1" applyBorder="1" applyAlignment="1">
      <alignment horizontal="right" vertical="center" wrapText="1"/>
    </xf>
    <xf numFmtId="49" fontId="45" fillId="0" borderId="0" xfId="0" quotePrefix="1" applyNumberFormat="1" applyFont="1" applyAlignment="1">
      <alignment horizontal="center" vertical="center" wrapText="1"/>
    </xf>
    <xf numFmtId="0" fontId="48" fillId="0" borderId="3" xfId="0" applyFont="1" applyBorder="1" applyAlignment="1">
      <alignment horizontal="right" vertical="center" wrapText="1"/>
    </xf>
    <xf numFmtId="2" fontId="46" fillId="0" borderId="0" xfId="0" applyNumberFormat="1" applyFont="1"/>
    <xf numFmtId="0" fontId="0" fillId="0" borderId="13" xfId="0" applyBorder="1"/>
    <xf numFmtId="0" fontId="0" fillId="0" borderId="6" xfId="0" applyBorder="1"/>
    <xf numFmtId="2" fontId="5" fillId="5" borderId="0" xfId="0" applyNumberFormat="1" applyFont="1" applyFill="1"/>
    <xf numFmtId="2" fontId="9" fillId="0" borderId="0" xfId="0" applyNumberFormat="1" applyFont="1"/>
    <xf numFmtId="0" fontId="32" fillId="0" borderId="21" xfId="0" applyFont="1" applyBorder="1" applyAlignment="1">
      <alignment horizontal="right" vertical="center" wrapText="1"/>
    </xf>
    <xf numFmtId="0" fontId="48" fillId="0" borderId="13" xfId="0" applyFont="1" applyBorder="1" applyAlignment="1">
      <alignment horizontal="center" vertical="center" wrapText="1"/>
    </xf>
    <xf numFmtId="0" fontId="48" fillId="0" borderId="6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2" fillId="0" borderId="3" xfId="0" applyFont="1" applyBorder="1" applyAlignment="1">
      <alignment horizontal="left" vertical="center" wrapText="1"/>
    </xf>
    <xf numFmtId="0" fontId="34" fillId="0" borderId="12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3" xfId="0" applyFont="1" applyBorder="1" applyAlignment="1">
      <alignment horizontal="left" vertical="center" wrapText="1"/>
    </xf>
    <xf numFmtId="0" fontId="48" fillId="0" borderId="19" xfId="0" applyFont="1" applyBorder="1" applyAlignment="1">
      <alignment horizontal="center" vertical="center" wrapText="1"/>
    </xf>
    <xf numFmtId="0" fontId="48" fillId="0" borderId="11" xfId="0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48" fillId="0" borderId="17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48" fillId="0" borderId="4" xfId="0" applyFont="1" applyBorder="1" applyAlignment="1">
      <alignment horizontal="center" vertical="center" wrapText="1"/>
    </xf>
    <xf numFmtId="0" fontId="32" fillId="0" borderId="19" xfId="0" applyFont="1" applyBorder="1" applyAlignment="1">
      <alignment horizontal="left" vertical="center" wrapText="1"/>
    </xf>
    <xf numFmtId="0" fontId="32" fillId="0" borderId="11" xfId="0" applyFont="1" applyBorder="1" applyAlignment="1">
      <alignment horizontal="left" vertical="center" wrapText="1"/>
    </xf>
    <xf numFmtId="0" fontId="32" fillId="0" borderId="18" xfId="0" applyFont="1" applyBorder="1" applyAlignment="1">
      <alignment horizontal="left" vertical="center" wrapText="1"/>
    </xf>
    <xf numFmtId="0" fontId="32" fillId="0" borderId="17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32" fillId="0" borderId="4" xfId="0" applyFont="1" applyBorder="1" applyAlignment="1">
      <alignment horizontal="left" vertical="center" wrapText="1"/>
    </xf>
    <xf numFmtId="0" fontId="31" fillId="0" borderId="11" xfId="0" applyFont="1" applyBorder="1" applyAlignment="1">
      <alignment horizontal="right" vertical="center" indent="1"/>
    </xf>
    <xf numFmtId="0" fontId="31" fillId="0" borderId="18" xfId="0" applyFont="1" applyBorder="1" applyAlignment="1">
      <alignment horizontal="right" vertical="center" indent="1"/>
    </xf>
    <xf numFmtId="171" fontId="0" fillId="0" borderId="0" xfId="0" applyNumberFormat="1" applyAlignment="1">
      <alignment horizontal="left"/>
    </xf>
    <xf numFmtId="0" fontId="31" fillId="0" borderId="0" xfId="0" applyFont="1" applyAlignment="1">
      <alignment horizontal="right" vertical="center" indent="1"/>
    </xf>
    <xf numFmtId="0" fontId="45" fillId="0" borderId="19" xfId="0" applyFont="1" applyBorder="1" applyAlignment="1">
      <alignment horizontal="left" vertical="center" wrapText="1"/>
    </xf>
    <xf numFmtId="0" fontId="45" fillId="0" borderId="11" xfId="0" applyFont="1" applyBorder="1" applyAlignment="1">
      <alignment horizontal="left" vertical="center" wrapText="1"/>
    </xf>
    <xf numFmtId="0" fontId="45" fillId="0" borderId="18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right" vertical="center" indent="1"/>
    </xf>
    <xf numFmtId="0" fontId="0" fillId="0" borderId="0" xfId="0"/>
    <xf numFmtId="0" fontId="21" fillId="0" borderId="3" xfId="0" applyFont="1" applyBorder="1"/>
    <xf numFmtId="0" fontId="31" fillId="0" borderId="26" xfId="0" applyFont="1" applyBorder="1" applyAlignment="1">
      <alignment horizontal="right" vertical="center" indent="1"/>
    </xf>
    <xf numFmtId="0" fontId="0" fillId="0" borderId="1" xfId="0" applyBorder="1"/>
    <xf numFmtId="0" fontId="21" fillId="0" borderId="4" xfId="0" applyFont="1" applyBorder="1"/>
    <xf numFmtId="0" fontId="21" fillId="0" borderId="11" xfId="0" applyFont="1" applyBorder="1"/>
    <xf numFmtId="0" fontId="21" fillId="0" borderId="18" xfId="0" applyFont="1" applyBorder="1"/>
    <xf numFmtId="0" fontId="21" fillId="0" borderId="17" xfId="0" applyFont="1" applyBorder="1"/>
    <xf numFmtId="0" fontId="21" fillId="0" borderId="1" xfId="0" applyFont="1" applyBorder="1"/>
    <xf numFmtId="0" fontId="48" fillId="0" borderId="24" xfId="0" applyFont="1" applyBorder="1" applyAlignment="1">
      <alignment horizontal="center" vertical="center" wrapText="1"/>
    </xf>
    <xf numFmtId="0" fontId="21" fillId="0" borderId="25" xfId="0" applyFont="1" applyBorder="1"/>
    <xf numFmtId="0" fontId="48" fillId="0" borderId="22" xfId="0" applyFont="1" applyBorder="1" applyAlignment="1">
      <alignment horizontal="center" vertical="center" wrapText="1"/>
    </xf>
    <xf numFmtId="0" fontId="21" fillId="0" borderId="23" xfId="0" applyFont="1" applyBorder="1"/>
    <xf numFmtId="0" fontId="48" fillId="0" borderId="12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8" fillId="0" borderId="3" xfId="0" applyFont="1" applyBorder="1" applyAlignment="1">
      <alignment horizontal="center" vertical="center" wrapText="1"/>
    </xf>
    <xf numFmtId="0" fontId="48" fillId="0" borderId="5" xfId="0" applyFont="1" applyBorder="1" applyAlignment="1">
      <alignment horizontal="center" vertical="center" wrapText="1"/>
    </xf>
    <xf numFmtId="0" fontId="45" fillId="0" borderId="20" xfId="0" applyFont="1" applyBorder="1" applyAlignment="1">
      <alignment horizontal="left" vertical="center" wrapText="1"/>
    </xf>
    <xf numFmtId="0" fontId="45" fillId="0" borderId="15" xfId="0" applyFont="1" applyBorder="1" applyAlignment="1">
      <alignment horizontal="left" vertical="center" wrapText="1"/>
    </xf>
    <xf numFmtId="0" fontId="45" fillId="0" borderId="14" xfId="0" applyFont="1" applyBorder="1" applyAlignment="1">
      <alignment horizontal="left" vertical="center" wrapText="1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15240</xdr:colOff>
          <xdr:row>4</xdr:row>
          <xdr:rowOff>15240</xdr:rowOff>
        </xdr:from>
        <xdr:to>
          <xdr:col>7</xdr:col>
          <xdr:colOff>358140</xdr:colOff>
          <xdr:row>7</xdr:row>
          <xdr:rowOff>38100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65216006-D044-FF12-6655-05CE986969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Nullēt Elektrību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472440</xdr:colOff>
          <xdr:row>0</xdr:row>
          <xdr:rowOff>121920</xdr:rowOff>
        </xdr:from>
        <xdr:to>
          <xdr:col>7</xdr:col>
          <xdr:colOff>327660</xdr:colOff>
          <xdr:row>3</xdr:row>
          <xdr:rowOff>38100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19F06ED7-87FD-C6BB-B46B-93B6D9FACE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Nullēt Ūdeni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32</xdr:row>
      <xdr:rowOff>68580</xdr:rowOff>
    </xdr:from>
    <xdr:to>
      <xdr:col>6</xdr:col>
      <xdr:colOff>883920</xdr:colOff>
      <xdr:row>41</xdr:row>
      <xdr:rowOff>91440</xdr:rowOff>
    </xdr:to>
    <xdr:pic>
      <xdr:nvPicPr>
        <xdr:cNvPr id="10263" name="Picture 1">
          <a:extLst>
            <a:ext uri="{FF2B5EF4-FFF2-40B4-BE49-F238E27FC236}">
              <a16:creationId xmlns:a16="http://schemas.microsoft.com/office/drawing/2014/main" id="{13777C0C-5587-6CFE-D090-37C604EA0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2940" y="5334000"/>
          <a:ext cx="1303020" cy="1363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30</xdr:row>
      <xdr:rowOff>30480</xdr:rowOff>
    </xdr:from>
    <xdr:to>
      <xdr:col>6</xdr:col>
      <xdr:colOff>518160</xdr:colOff>
      <xdr:row>39</xdr:row>
      <xdr:rowOff>83820</xdr:rowOff>
    </xdr:to>
    <xdr:pic>
      <xdr:nvPicPr>
        <xdr:cNvPr id="11287" name="Picture 1">
          <a:extLst>
            <a:ext uri="{FF2B5EF4-FFF2-40B4-BE49-F238E27FC236}">
              <a16:creationId xmlns:a16="http://schemas.microsoft.com/office/drawing/2014/main" id="{4E0A4A90-8A6E-7DA7-8CAC-766A86EFF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303520"/>
          <a:ext cx="1272540" cy="1394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33</xdr:row>
      <xdr:rowOff>91440</xdr:rowOff>
    </xdr:from>
    <xdr:to>
      <xdr:col>6</xdr:col>
      <xdr:colOff>502920</xdr:colOff>
      <xdr:row>44</xdr:row>
      <xdr:rowOff>30480</xdr:rowOff>
    </xdr:to>
    <xdr:pic>
      <xdr:nvPicPr>
        <xdr:cNvPr id="12311" name="Picture 1">
          <a:extLst>
            <a:ext uri="{FF2B5EF4-FFF2-40B4-BE49-F238E27FC236}">
              <a16:creationId xmlns:a16="http://schemas.microsoft.com/office/drawing/2014/main" id="{0EFA6D32-F338-B69D-5805-2B7B5F9A3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420" y="5593080"/>
          <a:ext cx="1447800" cy="1623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33</xdr:row>
      <xdr:rowOff>83820</xdr:rowOff>
    </xdr:from>
    <xdr:to>
      <xdr:col>6</xdr:col>
      <xdr:colOff>518160</xdr:colOff>
      <xdr:row>42</xdr:row>
      <xdr:rowOff>53340</xdr:rowOff>
    </xdr:to>
    <xdr:pic>
      <xdr:nvPicPr>
        <xdr:cNvPr id="13335" name="Picture 1">
          <a:extLst>
            <a:ext uri="{FF2B5EF4-FFF2-40B4-BE49-F238E27FC236}">
              <a16:creationId xmlns:a16="http://schemas.microsoft.com/office/drawing/2014/main" id="{455851C4-789E-268A-758A-453B123CA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5844540"/>
          <a:ext cx="1394460" cy="1318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31</xdr:row>
      <xdr:rowOff>76200</xdr:rowOff>
    </xdr:from>
    <xdr:to>
      <xdr:col>6</xdr:col>
      <xdr:colOff>815340</xdr:colOff>
      <xdr:row>41</xdr:row>
      <xdr:rowOff>15240</xdr:rowOff>
    </xdr:to>
    <xdr:pic>
      <xdr:nvPicPr>
        <xdr:cNvPr id="14359" name="Picture 1">
          <a:extLst>
            <a:ext uri="{FF2B5EF4-FFF2-40B4-BE49-F238E27FC236}">
              <a16:creationId xmlns:a16="http://schemas.microsoft.com/office/drawing/2014/main" id="{CA00E4C0-F4BE-7E6E-27EA-8C720CFEB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2940" y="5547360"/>
          <a:ext cx="1356360" cy="1455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35</xdr:row>
      <xdr:rowOff>38100</xdr:rowOff>
    </xdr:from>
    <xdr:to>
      <xdr:col>6</xdr:col>
      <xdr:colOff>518160</xdr:colOff>
      <xdr:row>44</xdr:row>
      <xdr:rowOff>114300</xdr:rowOff>
    </xdr:to>
    <xdr:pic>
      <xdr:nvPicPr>
        <xdr:cNvPr id="15383" name="Picture 1">
          <a:extLst>
            <a:ext uri="{FF2B5EF4-FFF2-40B4-BE49-F238E27FC236}">
              <a16:creationId xmlns:a16="http://schemas.microsoft.com/office/drawing/2014/main" id="{77CF76E7-01DC-F041-C883-5BC119096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3860" y="5783580"/>
          <a:ext cx="1470660" cy="1417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182880</xdr:colOff>
      <xdr:row>32</xdr:row>
      <xdr:rowOff>91440</xdr:rowOff>
    </xdr:from>
    <xdr:to>
      <xdr:col>6</xdr:col>
      <xdr:colOff>342900</xdr:colOff>
      <xdr:row>42</xdr:row>
      <xdr:rowOff>60960</xdr:rowOff>
    </xdr:to>
    <xdr:pic>
      <xdr:nvPicPr>
        <xdr:cNvPr id="16407" name="image1.png">
          <a:extLst>
            <a:ext uri="{FF2B5EF4-FFF2-40B4-BE49-F238E27FC236}">
              <a16:creationId xmlns:a16="http://schemas.microsoft.com/office/drawing/2014/main" id="{FD3CAD1E-535C-1A61-4712-7DA72C8C599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7680" y="5593080"/>
          <a:ext cx="1379220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32</xdr:row>
      <xdr:rowOff>91440</xdr:rowOff>
    </xdr:from>
    <xdr:to>
      <xdr:col>6</xdr:col>
      <xdr:colOff>472440</xdr:colOff>
      <xdr:row>42</xdr:row>
      <xdr:rowOff>30480</xdr:rowOff>
    </xdr:to>
    <xdr:pic>
      <xdr:nvPicPr>
        <xdr:cNvPr id="17431" name="Picture 1">
          <a:extLst>
            <a:ext uri="{FF2B5EF4-FFF2-40B4-BE49-F238E27FC236}">
              <a16:creationId xmlns:a16="http://schemas.microsoft.com/office/drawing/2014/main" id="{8C9B1292-B083-C187-99CF-8A8BB9375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0520" y="5669280"/>
          <a:ext cx="1424940" cy="1455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403860</xdr:colOff>
      <xdr:row>30</xdr:row>
      <xdr:rowOff>0</xdr:rowOff>
    </xdr:from>
    <xdr:to>
      <xdr:col>6</xdr:col>
      <xdr:colOff>556260</xdr:colOff>
      <xdr:row>39</xdr:row>
      <xdr:rowOff>15240</xdr:rowOff>
    </xdr:to>
    <xdr:pic>
      <xdr:nvPicPr>
        <xdr:cNvPr id="18455" name="Picture 1">
          <a:extLst>
            <a:ext uri="{FF2B5EF4-FFF2-40B4-BE49-F238E27FC236}">
              <a16:creationId xmlns:a16="http://schemas.microsoft.com/office/drawing/2014/main" id="{54498EEA-3415-8621-4105-3F5C9E9A4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1960" y="5181600"/>
          <a:ext cx="1554480" cy="1363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32</xdr:row>
      <xdr:rowOff>38100</xdr:rowOff>
    </xdr:from>
    <xdr:to>
      <xdr:col>6</xdr:col>
      <xdr:colOff>563880</xdr:colOff>
      <xdr:row>41</xdr:row>
      <xdr:rowOff>38100</xdr:rowOff>
    </xdr:to>
    <xdr:pic>
      <xdr:nvPicPr>
        <xdr:cNvPr id="19479" name="Picture 1">
          <a:extLst>
            <a:ext uri="{FF2B5EF4-FFF2-40B4-BE49-F238E27FC236}">
              <a16:creationId xmlns:a16="http://schemas.microsoft.com/office/drawing/2014/main" id="{CF96D746-5ECF-D77F-9465-D104E39DB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4840" y="5646420"/>
          <a:ext cx="1363980" cy="1348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32</xdr:row>
      <xdr:rowOff>99060</xdr:rowOff>
    </xdr:from>
    <xdr:to>
      <xdr:col>6</xdr:col>
      <xdr:colOff>624840</xdr:colOff>
      <xdr:row>42</xdr:row>
      <xdr:rowOff>38100</xdr:rowOff>
    </xdr:to>
    <xdr:pic>
      <xdr:nvPicPr>
        <xdr:cNvPr id="20503" name="Picture 1">
          <a:extLst>
            <a:ext uri="{FF2B5EF4-FFF2-40B4-BE49-F238E27FC236}">
              <a16:creationId xmlns:a16="http://schemas.microsoft.com/office/drawing/2014/main" id="{0EC21F65-A61A-A7CE-8DB4-03916CF93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2440" y="5600700"/>
          <a:ext cx="1493520" cy="1455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30</xdr:row>
      <xdr:rowOff>15240</xdr:rowOff>
    </xdr:from>
    <xdr:to>
      <xdr:col>6</xdr:col>
      <xdr:colOff>640080</xdr:colOff>
      <xdr:row>38</xdr:row>
      <xdr:rowOff>83820</xdr:rowOff>
    </xdr:to>
    <xdr:pic>
      <xdr:nvPicPr>
        <xdr:cNvPr id="21527" name="Picture 1">
          <a:extLst>
            <a:ext uri="{FF2B5EF4-FFF2-40B4-BE49-F238E27FC236}">
              <a16:creationId xmlns:a16="http://schemas.microsoft.com/office/drawing/2014/main" id="{41A0E668-3231-6DF4-1CED-4CE2CFB5F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7720" y="5257800"/>
          <a:ext cx="1127760" cy="1249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739140</xdr:colOff>
      <xdr:row>18</xdr:row>
      <xdr:rowOff>83820</xdr:rowOff>
    </xdr:from>
    <xdr:to>
      <xdr:col>4</xdr:col>
      <xdr:colOff>1851660</xdr:colOff>
      <xdr:row>21</xdr:row>
      <xdr:rowOff>30480</xdr:rowOff>
    </xdr:to>
    <xdr:pic>
      <xdr:nvPicPr>
        <xdr:cNvPr id="22573" name="Picture 1">
          <a:extLst>
            <a:ext uri="{FF2B5EF4-FFF2-40B4-BE49-F238E27FC236}">
              <a16:creationId xmlns:a16="http://schemas.microsoft.com/office/drawing/2014/main" id="{9C76B0C2-E8AF-EA00-97A1-EBE4ACCFA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3139440"/>
          <a:ext cx="0" cy="449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342900</xdr:colOff>
      <xdr:row>19</xdr:row>
      <xdr:rowOff>114300</xdr:rowOff>
    </xdr:from>
    <xdr:to>
      <xdr:col>6</xdr:col>
      <xdr:colOff>487680</xdr:colOff>
      <xdr:row>27</xdr:row>
      <xdr:rowOff>152400</xdr:rowOff>
    </xdr:to>
    <xdr:pic>
      <xdr:nvPicPr>
        <xdr:cNvPr id="22574" name="Picture 1">
          <a:extLst>
            <a:ext uri="{FF2B5EF4-FFF2-40B4-BE49-F238E27FC236}">
              <a16:creationId xmlns:a16="http://schemas.microsoft.com/office/drawing/2014/main" id="{5A372DB8-6DAD-0991-C094-7A88AC627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3337560"/>
          <a:ext cx="1440180" cy="1379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942A-D25A-429B-B643-5AD6DAF40AA0}">
  <dimension ref="A1:AD50"/>
  <sheetViews>
    <sheetView tabSelected="1" topLeftCell="B1" zoomScaleNormal="100" workbookViewId="0">
      <selection activeCell="D22" sqref="D22"/>
    </sheetView>
  </sheetViews>
  <sheetFormatPr defaultColWidth="9.109375" defaultRowHeight="13.2" x14ac:dyDescent="0.25"/>
  <cols>
    <col min="4" max="4" width="37.5546875" customWidth="1"/>
    <col min="5" max="5" width="22.5546875" customWidth="1"/>
    <col min="6" max="6" width="12.6640625" customWidth="1"/>
    <col min="7" max="7" width="14" customWidth="1"/>
    <col min="8" max="8" width="15.44140625" customWidth="1"/>
    <col min="9" max="9" width="13.88671875" customWidth="1"/>
    <col min="11" max="11" width="13.88671875" customWidth="1"/>
  </cols>
  <sheetData>
    <row r="1" spans="1:30" x14ac:dyDescent="0.25">
      <c r="T1">
        <v>19.5</v>
      </c>
      <c r="U1">
        <v>12</v>
      </c>
    </row>
    <row r="2" spans="1:30" x14ac:dyDescent="0.25">
      <c r="F2">
        <v>3.78</v>
      </c>
      <c r="T2">
        <v>0.05</v>
      </c>
      <c r="U2">
        <v>7.0000000000000007E-2</v>
      </c>
    </row>
    <row r="3" spans="1:30" x14ac:dyDescent="0.25">
      <c r="A3">
        <v>0.32</v>
      </c>
      <c r="B3" s="1">
        <f>B5*A3/A5</f>
        <v>5.5363321799307954</v>
      </c>
      <c r="D3" t="s">
        <v>141</v>
      </c>
      <c r="E3">
        <f>Rekvizīti!C23</f>
        <v>3.2307000000000001</v>
      </c>
      <c r="U3">
        <f>E23</f>
        <v>6.7683033600000009</v>
      </c>
      <c r="V3">
        <v>3.5609280000000001</v>
      </c>
    </row>
    <row r="4" spans="1:30" ht="15.6" x14ac:dyDescent="0.35">
      <c r="A4">
        <v>5.46</v>
      </c>
      <c r="B4" s="1">
        <f>B5*A4/A5</f>
        <v>94.463667820069205</v>
      </c>
      <c r="D4" t="s">
        <v>142</v>
      </c>
      <c r="E4">
        <v>19.5</v>
      </c>
      <c r="I4">
        <f>(I16*L19)+H23+(G45*P19)</f>
        <v>799.93794285147249</v>
      </c>
      <c r="N4" t="s">
        <v>26</v>
      </c>
      <c r="O4" t="s">
        <v>27</v>
      </c>
      <c r="P4" t="s">
        <v>28</v>
      </c>
      <c r="R4">
        <f>ROUND(E23,2)</f>
        <v>6.77</v>
      </c>
      <c r="U4" t="s">
        <v>143</v>
      </c>
    </row>
    <row r="5" spans="1:30" x14ac:dyDescent="0.25">
      <c r="A5">
        <f>A3+A4</f>
        <v>5.78</v>
      </c>
      <c r="B5">
        <v>100</v>
      </c>
      <c r="D5" t="s">
        <v>144</v>
      </c>
      <c r="E5">
        <v>7.2800000000000004E-2</v>
      </c>
      <c r="F5" t="s">
        <v>145</v>
      </c>
      <c r="G5" t="s">
        <v>146</v>
      </c>
    </row>
    <row r="6" spans="1:30" x14ac:dyDescent="0.25">
      <c r="D6" t="s">
        <v>147</v>
      </c>
      <c r="E6" s="1">
        <f>F6+G6</f>
        <v>92.97120000000001</v>
      </c>
      <c r="F6">
        <v>83.01</v>
      </c>
      <c r="G6" s="30">
        <f>ROUND(F6/100*12,4)</f>
        <v>9.9611999999999998</v>
      </c>
      <c r="H6" s="30">
        <f>ROUND(F6/100*21,4)</f>
        <v>17.432099999999998</v>
      </c>
      <c r="I6" s="30">
        <f>F6+H6</f>
        <v>100.44210000000001</v>
      </c>
    </row>
    <row r="7" spans="1:30" ht="15" thickBot="1" x14ac:dyDescent="0.35">
      <c r="D7" t="s">
        <v>148</v>
      </c>
      <c r="E7" s="15">
        <f>(E8*F8)+(E9*F9)</f>
        <v>729.30780000000004</v>
      </c>
      <c r="F7">
        <v>83.01</v>
      </c>
      <c r="J7">
        <v>1</v>
      </c>
      <c r="K7" s="64" t="s">
        <v>34</v>
      </c>
      <c r="L7" s="65">
        <v>41.9</v>
      </c>
      <c r="N7" s="1">
        <f>L7*$I$16</f>
        <v>26.767876299666977</v>
      </c>
      <c r="O7" s="12">
        <f>Ūdens!F3</f>
        <v>1.2199999999999998</v>
      </c>
      <c r="P7" s="12">
        <f>Ūdens!G3</f>
        <v>0.19999999999999996</v>
      </c>
      <c r="R7" s="1">
        <f>J7*$R$4</f>
        <v>6.77</v>
      </c>
      <c r="U7" s="1">
        <f>J7*$U$3</f>
        <v>6.7683033600000009</v>
      </c>
      <c r="V7" s="1">
        <f t="shared" ref="V7:V18" si="0">$V$3</f>
        <v>3.5609280000000001</v>
      </c>
    </row>
    <row r="8" spans="1:30" ht="14.4" x14ac:dyDescent="0.3">
      <c r="D8" t="s">
        <v>266</v>
      </c>
      <c r="E8" s="30">
        <f>F7+G8</f>
        <v>100.44</v>
      </c>
      <c r="F8" s="138">
        <v>0.43</v>
      </c>
      <c r="G8" s="1">
        <f>ROUND(F7/100*21,2)</f>
        <v>17.43</v>
      </c>
      <c r="H8" s="1">
        <f>ROUND(E8*F8,2)</f>
        <v>43.19</v>
      </c>
      <c r="J8">
        <v>1</v>
      </c>
      <c r="K8" s="64" t="s">
        <v>86</v>
      </c>
      <c r="L8" s="66">
        <v>13.9</v>
      </c>
      <c r="N8" s="1">
        <f t="shared" ref="N8:N19" si="1">L8*$I$16</f>
        <v>8.8800353356890458</v>
      </c>
      <c r="O8" s="12">
        <f>Ūdens!F2</f>
        <v>2.4</v>
      </c>
      <c r="P8" s="12">
        <f>Ūdens!G2</f>
        <v>0.18999999999999995</v>
      </c>
      <c r="R8" s="1">
        <f t="shared" ref="R8:R18" si="2">J8*$R$4</f>
        <v>6.77</v>
      </c>
      <c r="U8" s="1">
        <f>J8*$U$3</f>
        <v>6.7683033600000009</v>
      </c>
      <c r="V8" s="1">
        <f t="shared" si="0"/>
        <v>3.5609280000000001</v>
      </c>
    </row>
    <row r="9" spans="1:30" ht="15" thickBot="1" x14ac:dyDescent="0.35">
      <c r="D9" t="s">
        <v>267</v>
      </c>
      <c r="E9" s="30">
        <f>F7+G9</f>
        <v>92.97</v>
      </c>
      <c r="F9" s="139">
        <v>7.38</v>
      </c>
      <c r="G9" s="1">
        <f>ROUND(F7/100*12,2)</f>
        <v>9.9600000000000009</v>
      </c>
      <c r="H9">
        <f>ROUND(E9*F9,2)</f>
        <v>686.12</v>
      </c>
      <c r="J9" s="1">
        <v>2.5</v>
      </c>
      <c r="K9" s="64" t="s">
        <v>23</v>
      </c>
      <c r="L9" s="66">
        <v>111.04</v>
      </c>
      <c r="N9" s="1">
        <f t="shared" si="1"/>
        <v>70.938066451432491</v>
      </c>
      <c r="O9" s="12">
        <f>Ūdens!F4</f>
        <v>0.57000000000000006</v>
      </c>
      <c r="P9" s="12">
        <f>Ūdens!G4</f>
        <v>0.13999999999999999</v>
      </c>
      <c r="R9" s="1">
        <f>J9*$R$4</f>
        <v>16.924999999999997</v>
      </c>
      <c r="U9" s="1">
        <f t="shared" ref="U9:U18" si="3">J9*$U$3</f>
        <v>16.920758400000004</v>
      </c>
      <c r="V9" s="1">
        <f t="shared" si="0"/>
        <v>3.5609280000000001</v>
      </c>
      <c r="W9" s="1">
        <f>U7+U8+U9</f>
        <v>30.457365120000006</v>
      </c>
      <c r="X9" s="1">
        <f>V7+V8+V9</f>
        <v>10.682784</v>
      </c>
    </row>
    <row r="10" spans="1:30" ht="15.6" x14ac:dyDescent="0.3">
      <c r="A10" s="67" t="s">
        <v>149</v>
      </c>
      <c r="E10">
        <v>1</v>
      </c>
      <c r="J10" s="1">
        <v>2.5</v>
      </c>
      <c r="K10" s="64" t="s">
        <v>24</v>
      </c>
      <c r="L10" s="66">
        <v>109.4</v>
      </c>
      <c r="N10" s="1">
        <f t="shared" si="1"/>
        <v>69.890350052113789</v>
      </c>
      <c r="O10" s="12">
        <f>Ūdens!F5</f>
        <v>3.7900000000000009</v>
      </c>
      <c r="P10" s="12">
        <f>Ūdens!G5</f>
        <v>2.6499999999999995</v>
      </c>
      <c r="R10" s="1">
        <f t="shared" si="2"/>
        <v>16.924999999999997</v>
      </c>
      <c r="U10" s="1">
        <f t="shared" si="3"/>
        <v>16.920758400000004</v>
      </c>
      <c r="V10" s="1">
        <f t="shared" si="0"/>
        <v>3.5609280000000001</v>
      </c>
    </row>
    <row r="11" spans="1:30" ht="18" x14ac:dyDescent="0.4">
      <c r="A11" s="67" t="s">
        <v>150</v>
      </c>
      <c r="E11">
        <v>1</v>
      </c>
      <c r="J11">
        <v>1</v>
      </c>
      <c r="K11" s="64" t="s">
        <v>25</v>
      </c>
      <c r="L11" s="66">
        <v>28.4</v>
      </c>
      <c r="N11" s="1">
        <f t="shared" si="1"/>
        <v>18.143381549177619</v>
      </c>
      <c r="O11" s="12">
        <f>Ūdens!F6</f>
        <v>4.9999999999999989E-2</v>
      </c>
      <c r="P11" s="12">
        <f>Ūdens!G6</f>
        <v>4.0000000000000008E-2</v>
      </c>
      <c r="R11" s="1">
        <f t="shared" si="2"/>
        <v>6.77</v>
      </c>
      <c r="U11" s="1">
        <f t="shared" si="3"/>
        <v>6.7683033600000009</v>
      </c>
      <c r="V11" s="1">
        <f t="shared" si="0"/>
        <v>3.5609280000000001</v>
      </c>
    </row>
    <row r="12" spans="1:30" ht="18" x14ac:dyDescent="0.4">
      <c r="A12" s="67" t="s">
        <v>151</v>
      </c>
      <c r="E12">
        <v>0.85980000000000001</v>
      </c>
      <c r="F12">
        <f>POWER(10,3)*E12</f>
        <v>859.8</v>
      </c>
      <c r="J12">
        <v>2</v>
      </c>
      <c r="K12" s="64" t="s">
        <v>152</v>
      </c>
      <c r="L12" s="66">
        <v>84.7</v>
      </c>
      <c r="N12" s="1">
        <f t="shared" si="1"/>
        <v>54.11071891603325</v>
      </c>
      <c r="O12" s="12">
        <f>Ūdens!F7</f>
        <v>5.5699999999999985</v>
      </c>
      <c r="P12" s="12">
        <f>Ūdens!G7</f>
        <v>3.41</v>
      </c>
      <c r="R12" s="1">
        <f t="shared" si="2"/>
        <v>13.54</v>
      </c>
      <c r="U12" s="1">
        <f t="shared" si="3"/>
        <v>13.536606720000002</v>
      </c>
      <c r="V12" s="1">
        <f t="shared" si="0"/>
        <v>3.5609280000000001</v>
      </c>
      <c r="AC12" s="12"/>
      <c r="AD12" s="12"/>
    </row>
    <row r="13" spans="1:30" ht="15.6" x14ac:dyDescent="0.3">
      <c r="A13" s="67"/>
      <c r="J13">
        <v>1</v>
      </c>
      <c r="K13" s="64" t="s">
        <v>153</v>
      </c>
      <c r="L13" s="66">
        <v>47.8</v>
      </c>
      <c r="N13" s="1">
        <f t="shared" si="1"/>
        <v>30.537099931362327</v>
      </c>
      <c r="O13" s="12">
        <f>Ūdens!F8</f>
        <v>6.68</v>
      </c>
      <c r="P13" s="12">
        <f>Ūdens!G8</f>
        <v>3.8699999999999974</v>
      </c>
      <c r="R13" s="1">
        <f t="shared" si="2"/>
        <v>6.77</v>
      </c>
      <c r="U13" s="1">
        <f t="shared" si="3"/>
        <v>6.7683033600000009</v>
      </c>
      <c r="V13" s="1">
        <f t="shared" si="0"/>
        <v>3.5609280000000001</v>
      </c>
      <c r="AC13" s="12"/>
      <c r="AD13" s="12"/>
    </row>
    <row r="14" spans="1:30" ht="15" thickBot="1" x14ac:dyDescent="0.35">
      <c r="D14" s="68" t="s">
        <v>154</v>
      </c>
      <c r="E14" s="68">
        <v>56.31</v>
      </c>
      <c r="J14">
        <v>2</v>
      </c>
      <c r="K14" s="64" t="s">
        <v>155</v>
      </c>
      <c r="L14" s="66">
        <v>65.7</v>
      </c>
      <c r="N14" s="1">
        <f t="shared" si="1"/>
        <v>41.972541119048223</v>
      </c>
      <c r="O14" s="12">
        <f>Ūdens!F9</f>
        <v>0</v>
      </c>
      <c r="P14" s="12">
        <f>Ūdens!G9</f>
        <v>0</v>
      </c>
      <c r="R14" s="1">
        <f t="shared" si="2"/>
        <v>13.54</v>
      </c>
      <c r="U14" s="1">
        <f t="shared" si="3"/>
        <v>13.536606720000002</v>
      </c>
      <c r="V14" s="1">
        <f t="shared" si="0"/>
        <v>3.5609280000000001</v>
      </c>
      <c r="AC14" s="29"/>
      <c r="AD14" s="12"/>
    </row>
    <row r="15" spans="1:30" ht="16.2" thickBot="1" x14ac:dyDescent="0.4">
      <c r="D15" t="s">
        <v>156</v>
      </c>
      <c r="E15" s="35">
        <v>7.81</v>
      </c>
      <c r="G15">
        <f>ROUND(E7,2)</f>
        <v>729.31</v>
      </c>
      <c r="I15" t="s">
        <v>157</v>
      </c>
      <c r="J15">
        <v>1</v>
      </c>
      <c r="K15" s="64" t="s">
        <v>158</v>
      </c>
      <c r="L15" s="66">
        <v>47.1</v>
      </c>
      <c r="N15" s="1">
        <f t="shared" si="1"/>
        <v>30.089903907262883</v>
      </c>
      <c r="O15" s="12">
        <f>Ūdens!F10</f>
        <v>3.1500000000000004</v>
      </c>
      <c r="P15" s="12">
        <f>Ūdens!G10</f>
        <v>3.5700000000000003</v>
      </c>
      <c r="R15" s="1">
        <f t="shared" si="2"/>
        <v>6.77</v>
      </c>
      <c r="U15" s="1">
        <f t="shared" si="3"/>
        <v>6.7683033600000009</v>
      </c>
      <c r="V15" s="1">
        <f t="shared" si="0"/>
        <v>3.5609280000000001</v>
      </c>
      <c r="AC15" s="12"/>
      <c r="AD15" s="12"/>
    </row>
    <row r="16" spans="1:30" ht="29.4" customHeight="1" x14ac:dyDescent="0.45">
      <c r="D16" t="s">
        <v>159</v>
      </c>
      <c r="E16" s="69">
        <f>ROUND(E15-E26-F34,4)</f>
        <v>5.3715999999999999</v>
      </c>
      <c r="F16" s="70">
        <f>ROUND(E15-(E26+E33),4)</f>
        <v>5.3715999999999999</v>
      </c>
      <c r="G16" s="71">
        <f>ROUND(E7-G18-(E23*E4),2)</f>
        <v>502.61</v>
      </c>
      <c r="H16" s="1">
        <f>ROUND(E16*E6,2)</f>
        <v>499.4</v>
      </c>
      <c r="I16" s="127">
        <f>G16/L19</f>
        <v>0.63885146299921192</v>
      </c>
      <c r="J16">
        <v>2</v>
      </c>
      <c r="K16" s="64" t="s">
        <v>160</v>
      </c>
      <c r="L16" s="66">
        <v>64.400000000000006</v>
      </c>
      <c r="N16" s="1">
        <f t="shared" si="1"/>
        <v>41.142034217149252</v>
      </c>
      <c r="O16" s="12">
        <f>Ūdens!F11</f>
        <v>8.0800000000000018</v>
      </c>
      <c r="P16" s="12">
        <f>Ūdens!G11</f>
        <v>5.8199999999999994</v>
      </c>
      <c r="R16" s="1">
        <f t="shared" si="2"/>
        <v>13.54</v>
      </c>
      <c r="U16" s="1">
        <f t="shared" si="3"/>
        <v>13.536606720000002</v>
      </c>
      <c r="V16" s="1">
        <f t="shared" si="0"/>
        <v>3.5609280000000001</v>
      </c>
      <c r="AC16" s="12"/>
      <c r="AD16" s="12"/>
    </row>
    <row r="17" spans="2:30" ht="16.2" thickBot="1" x14ac:dyDescent="0.4">
      <c r="D17" t="s">
        <v>161</v>
      </c>
      <c r="E17">
        <v>0</v>
      </c>
      <c r="I17">
        <f>(H23+G16)/L19</f>
        <v>0.80660944596690143</v>
      </c>
      <c r="J17">
        <v>2.5</v>
      </c>
      <c r="K17" s="64" t="s">
        <v>162</v>
      </c>
      <c r="L17" s="66">
        <v>93.7</v>
      </c>
      <c r="M17">
        <v>99.1</v>
      </c>
      <c r="N17" s="1">
        <f t="shared" si="1"/>
        <v>59.86038208302616</v>
      </c>
      <c r="O17" s="12">
        <f>Ūdens!F12</f>
        <v>5.6600000000000019</v>
      </c>
      <c r="P17" s="12">
        <f>Ūdens!G12</f>
        <v>2.09</v>
      </c>
      <c r="R17" s="1">
        <f t="shared" si="2"/>
        <v>16.924999999999997</v>
      </c>
      <c r="U17" s="1">
        <f t="shared" si="3"/>
        <v>16.920758400000004</v>
      </c>
      <c r="V17" s="1">
        <f t="shared" si="0"/>
        <v>3.5609280000000001</v>
      </c>
      <c r="AC17" s="12"/>
      <c r="AD17" s="12"/>
    </row>
    <row r="18" spans="2:30" ht="24" thickBot="1" x14ac:dyDescent="0.5">
      <c r="D18" t="s">
        <v>163</v>
      </c>
      <c r="E18" s="37">
        <v>21.9</v>
      </c>
      <c r="G18" s="71">
        <f>G34</f>
        <v>94.72</v>
      </c>
      <c r="H18" s="1">
        <f>ROUND(G18/E18,2)</f>
        <v>4.33</v>
      </c>
      <c r="J18">
        <v>1</v>
      </c>
      <c r="K18" s="64" t="s">
        <v>18</v>
      </c>
      <c r="L18" s="72">
        <v>78.7</v>
      </c>
      <c r="N18" s="1">
        <f t="shared" si="1"/>
        <v>50.277610138037979</v>
      </c>
      <c r="O18" s="12">
        <f>Ūdens!F13</f>
        <v>0</v>
      </c>
      <c r="P18" s="12">
        <f>Ūdens!G13</f>
        <v>7.0000000000000007E-2</v>
      </c>
      <c r="R18" s="1">
        <f t="shared" si="2"/>
        <v>6.77</v>
      </c>
      <c r="U18" s="1">
        <f t="shared" si="3"/>
        <v>6.7683033600000009</v>
      </c>
      <c r="V18" s="1">
        <f t="shared" si="0"/>
        <v>3.5609280000000001</v>
      </c>
      <c r="AC18" s="12"/>
      <c r="AD18" s="12"/>
    </row>
    <row r="19" spans="2:30" ht="15.6" x14ac:dyDescent="0.35">
      <c r="D19" t="s">
        <v>164</v>
      </c>
      <c r="E19" s="1">
        <v>55</v>
      </c>
      <c r="H19" t="s">
        <v>270</v>
      </c>
      <c r="I19" s="30">
        <f>I16-(I16/100*12)</f>
        <v>0.56218928743930652</v>
      </c>
      <c r="L19" s="73">
        <f>SUM(L7:L18)</f>
        <v>786.74</v>
      </c>
      <c r="N19" s="74">
        <f t="shared" si="1"/>
        <v>502.61</v>
      </c>
      <c r="O19" s="12">
        <f>Ūdens!F14</f>
        <v>34.770000000000003</v>
      </c>
      <c r="P19" s="12">
        <f>Ūdens!G14</f>
        <v>21.859999999999996</v>
      </c>
      <c r="Q19" t="str">
        <f>Ūdens!H14</f>
        <v xml:space="preserve">        </v>
      </c>
      <c r="R19" s="1"/>
      <c r="S19" s="1"/>
      <c r="AC19" s="12"/>
      <c r="AD19" s="12"/>
    </row>
    <row r="20" spans="2:30" ht="15.6" x14ac:dyDescent="0.35">
      <c r="D20" t="s">
        <v>165</v>
      </c>
      <c r="E20">
        <v>15</v>
      </c>
      <c r="G20" s="1">
        <f>G16+G18+H23</f>
        <v>729.31191552000007</v>
      </c>
      <c r="H20" t="s">
        <v>269</v>
      </c>
      <c r="I20" s="30">
        <f>I19+(I19/100*21)</f>
        <v>0.68024903780156087</v>
      </c>
      <c r="J20">
        <f>SUM(J6:J19)</f>
        <v>19.5</v>
      </c>
      <c r="U20" s="1">
        <f>SUM(U7:U19)</f>
        <v>131.98191552000006</v>
      </c>
      <c r="V20" s="1">
        <f>SUM(V7:V19)</f>
        <v>42.731135999999992</v>
      </c>
      <c r="AC20" s="12"/>
      <c r="AD20" s="12"/>
    </row>
    <row r="21" spans="2:30" ht="14.4" x14ac:dyDescent="0.3">
      <c r="H21" t="s">
        <v>268</v>
      </c>
      <c r="I21" s="30">
        <f>I19+(I19/100*12)</f>
        <v>0.62965200193202331</v>
      </c>
      <c r="AC21" s="12"/>
      <c r="AD21" s="12"/>
    </row>
    <row r="22" spans="2:30" ht="14.4" x14ac:dyDescent="0.3">
      <c r="D22" t="s">
        <v>278</v>
      </c>
      <c r="E22" s="1">
        <f>E15-E33-E31</f>
        <v>5.3715584089323096</v>
      </c>
      <c r="K22" t="s">
        <v>166</v>
      </c>
      <c r="L22" s="1"/>
      <c r="N22">
        <f>N18/3</f>
        <v>16.759203379345994</v>
      </c>
      <c r="AC22" s="12"/>
      <c r="AD22" s="12"/>
    </row>
    <row r="23" spans="2:30" ht="23.4" x14ac:dyDescent="0.45">
      <c r="D23" t="s">
        <v>167</v>
      </c>
      <c r="E23" s="75">
        <f>E5*E6</f>
        <v>6.7683033600000009</v>
      </c>
      <c r="H23" s="76">
        <f>E23*E4</f>
        <v>131.98191552000003</v>
      </c>
      <c r="K23">
        <f>L18/3</f>
        <v>26.233333333333334</v>
      </c>
      <c r="U23" s="1">
        <v>2.66</v>
      </c>
      <c r="V23">
        <v>3.39</v>
      </c>
      <c r="AC23" s="12"/>
      <c r="AD23" s="12"/>
    </row>
    <row r="25" spans="2:30" x14ac:dyDescent="0.25">
      <c r="E25" t="s">
        <v>168</v>
      </c>
    </row>
    <row r="26" spans="2:30" ht="15.6" x14ac:dyDescent="0.35">
      <c r="D26" t="s">
        <v>169</v>
      </c>
      <c r="E26">
        <f>E4*E5</f>
        <v>1.4196</v>
      </c>
      <c r="M26" t="s">
        <v>170</v>
      </c>
      <c r="N26" t="s">
        <v>171</v>
      </c>
    </row>
    <row r="27" spans="2:30" ht="15.6" x14ac:dyDescent="0.35">
      <c r="B27" t="s">
        <v>172</v>
      </c>
      <c r="D27" t="s">
        <v>173</v>
      </c>
      <c r="E27">
        <f>E15-E26</f>
        <v>6.3903999999999996</v>
      </c>
      <c r="I27" s="77" t="s">
        <v>174</v>
      </c>
      <c r="L27" t="s">
        <v>175</v>
      </c>
      <c r="M27" s="1">
        <f>U10</f>
        <v>16.920758400000004</v>
      </c>
      <c r="N27" s="1">
        <f>V10</f>
        <v>3.5609280000000001</v>
      </c>
    </row>
    <row r="28" spans="2:30" ht="16.2" x14ac:dyDescent="0.35">
      <c r="D28" t="s">
        <v>176</v>
      </c>
      <c r="E28">
        <f>E27/E18</f>
        <v>0.29179908675799088</v>
      </c>
      <c r="F28">
        <f>E15-E26-E17</f>
        <v>6.3903999999999996</v>
      </c>
      <c r="G28" s="78">
        <f>ROUND(F28*E6,2)</f>
        <v>594.12</v>
      </c>
      <c r="I28" s="79">
        <f>ROUND(G28/E18,2)+E3</f>
        <v>30.360699999999998</v>
      </c>
      <c r="L28" t="s">
        <v>177</v>
      </c>
      <c r="M28" s="1">
        <f>$U$23*2</f>
        <v>5.32</v>
      </c>
      <c r="N28">
        <f>$V$23*2</f>
        <v>6.78</v>
      </c>
    </row>
    <row r="29" spans="2:30" ht="15.6" x14ac:dyDescent="0.35">
      <c r="D29" t="s">
        <v>178</v>
      </c>
      <c r="E29">
        <f>E26+E27+E17</f>
        <v>7.81</v>
      </c>
      <c r="H29" s="1"/>
      <c r="L29" s="75" t="s">
        <v>76</v>
      </c>
      <c r="M29" s="74">
        <f>M27+M28</f>
        <v>22.240758400000004</v>
      </c>
      <c r="N29" s="74">
        <f>N27+N28</f>
        <v>10.340928</v>
      </c>
      <c r="P29" s="1">
        <f>N29-M29</f>
        <v>-11.899830400000004</v>
      </c>
    </row>
    <row r="31" spans="2:30" ht="15.6" x14ac:dyDescent="0.35">
      <c r="D31" t="s">
        <v>169</v>
      </c>
      <c r="E31">
        <f>E4*E5</f>
        <v>1.4196</v>
      </c>
      <c r="L31" t="s">
        <v>179</v>
      </c>
      <c r="M31" s="1">
        <f>U11</f>
        <v>6.7683033600000009</v>
      </c>
      <c r="N31" s="1">
        <f>V14</f>
        <v>3.5609280000000001</v>
      </c>
      <c r="P31" s="1"/>
    </row>
    <row r="32" spans="2:30" ht="15.6" x14ac:dyDescent="0.35">
      <c r="B32" t="s">
        <v>180</v>
      </c>
      <c r="D32" t="s">
        <v>178</v>
      </c>
      <c r="E32">
        <f>E26+E33+E16</f>
        <v>7.8100415910676899</v>
      </c>
      <c r="L32" t="s">
        <v>177</v>
      </c>
      <c r="M32" s="1">
        <f>$U$23*2</f>
        <v>5.32</v>
      </c>
      <c r="N32">
        <f>$V$23*2</f>
        <v>6.78</v>
      </c>
    </row>
    <row r="33" spans="1:17" ht="15.6" x14ac:dyDescent="0.35">
      <c r="D33" t="s">
        <v>181</v>
      </c>
      <c r="E33">
        <f>E34*E18</f>
        <v>1.0188415910676902</v>
      </c>
      <c r="I33" s="77" t="s">
        <v>174</v>
      </c>
      <c r="L33" s="75" t="s">
        <v>76</v>
      </c>
      <c r="M33" s="74">
        <f>M31+M32</f>
        <v>12.088303360000001</v>
      </c>
      <c r="N33" s="74">
        <f>N31+N32</f>
        <v>10.340928</v>
      </c>
      <c r="P33" s="1">
        <f>N33-M33</f>
        <v>-1.7473753600000013</v>
      </c>
    </row>
    <row r="34" spans="1:17" ht="16.2" x14ac:dyDescent="0.35">
      <c r="D34" t="s">
        <v>182</v>
      </c>
      <c r="E34">
        <f>((E19-E20)/(POWER(10,3)*E12))*E10*E11</f>
        <v>4.6522447080716449E-2</v>
      </c>
      <c r="F34">
        <f>ROUND(E34*E18,4)</f>
        <v>1.0187999999999999</v>
      </c>
      <c r="G34" s="80">
        <f>ROUND(F34*E6,2)</f>
        <v>94.72</v>
      </c>
      <c r="I34" s="80">
        <f>ROUND(G34/E18,2)+E3</f>
        <v>7.5607000000000006</v>
      </c>
    </row>
    <row r="35" spans="1:17" x14ac:dyDescent="0.25">
      <c r="E35" s="1"/>
    </row>
    <row r="36" spans="1:17" x14ac:dyDescent="0.25">
      <c r="F36">
        <f>E15-E26-E16</f>
        <v>1.0187999999999997</v>
      </c>
      <c r="L36" t="s">
        <v>183</v>
      </c>
      <c r="M36" s="1">
        <f>U16</f>
        <v>13.536606720000002</v>
      </c>
      <c r="N36" s="1">
        <f>V16</f>
        <v>3.5609280000000001</v>
      </c>
    </row>
    <row r="37" spans="1:17" ht="18" x14ac:dyDescent="0.4">
      <c r="A37" s="67" t="s">
        <v>184</v>
      </c>
      <c r="J37">
        <f>J38*E40</f>
        <v>6.402093321134493</v>
      </c>
      <c r="L37" t="s">
        <v>177</v>
      </c>
      <c r="M37" s="1">
        <f>$U$23*2</f>
        <v>5.32</v>
      </c>
      <c r="N37">
        <f>$V$23*2</f>
        <v>6.78</v>
      </c>
    </row>
    <row r="38" spans="1:17" ht="19.8" x14ac:dyDescent="0.4">
      <c r="A38" s="67" t="s">
        <v>185</v>
      </c>
      <c r="J38">
        <f>E27</f>
        <v>6.3903999999999996</v>
      </c>
      <c r="L38" s="75" t="s">
        <v>76</v>
      </c>
      <c r="M38" s="74">
        <f>M36+M37</f>
        <v>18.856606720000002</v>
      </c>
      <c r="N38" s="74">
        <f>N36+N37</f>
        <v>10.340928</v>
      </c>
      <c r="P38" s="1">
        <f>N38-M38</f>
        <v>-8.5156787200000021</v>
      </c>
    </row>
    <row r="39" spans="1:17" ht="15.6" x14ac:dyDescent="0.3">
      <c r="A39" s="67"/>
    </row>
    <row r="40" spans="1:17" x14ac:dyDescent="0.25">
      <c r="D40" t="s">
        <v>186</v>
      </c>
      <c r="E40">
        <f>E18/P19</f>
        <v>1.0018298261665144</v>
      </c>
      <c r="G40" t="s">
        <v>187</v>
      </c>
    </row>
    <row r="41" spans="1:17" ht="15.6" x14ac:dyDescent="0.35">
      <c r="D41" t="s">
        <v>188</v>
      </c>
      <c r="E41">
        <f>(E33*E6)/E18</f>
        <v>4.3252477320307063</v>
      </c>
      <c r="G41">
        <f>E41*E40</f>
        <v>4.333162183507433</v>
      </c>
      <c r="I41" s="81">
        <f>G41*P19</f>
        <v>94.722925331472467</v>
      </c>
    </row>
    <row r="42" spans="1:17" ht="15.6" x14ac:dyDescent="0.35">
      <c r="D42" t="s">
        <v>189</v>
      </c>
      <c r="E42">
        <f>E18*E41</f>
        <v>94.722925331472467</v>
      </c>
    </row>
    <row r="45" spans="1:17" ht="14.4" x14ac:dyDescent="0.3">
      <c r="E45">
        <f>E41+E3</f>
        <v>7.555947732030706</v>
      </c>
      <c r="F45" s="77"/>
      <c r="G45" s="75">
        <f>G41+E3</f>
        <v>7.5638621835074336</v>
      </c>
      <c r="H45">
        <f>G45*E18</f>
        <v>165.64858181881277</v>
      </c>
      <c r="Q45" s="1"/>
    </row>
    <row r="46" spans="1:17" x14ac:dyDescent="0.25">
      <c r="F46" s="77"/>
    </row>
    <row r="47" spans="1:17" x14ac:dyDescent="0.25">
      <c r="H47">
        <f>(G41*E18)+G16+H23</f>
        <v>729.48816733881279</v>
      </c>
    </row>
    <row r="48" spans="1:17" x14ac:dyDescent="0.25">
      <c r="G48" t="s">
        <v>190</v>
      </c>
      <c r="H48">
        <f>(G45*E18)+G16+H23</f>
        <v>800.24049733881282</v>
      </c>
      <c r="I48">
        <f>H47+H50</f>
        <v>800.42086467762556</v>
      </c>
    </row>
    <row r="50" spans="6:9" x14ac:dyDescent="0.25">
      <c r="F50">
        <f>H50/E3</f>
        <v>21.955829182162617</v>
      </c>
      <c r="G50" t="s">
        <v>191</v>
      </c>
      <c r="H50">
        <f>H48-E7</f>
        <v>70.932697338812773</v>
      </c>
      <c r="I50">
        <f>H45-G34</f>
        <v>70.928581818812773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ABFC-6DDF-4371-A427-0931F63F26A8}">
  <sheetPr codeName="Sheet1"/>
  <dimension ref="B3:E36"/>
  <sheetViews>
    <sheetView topLeftCell="A2" workbookViewId="0">
      <selection activeCell="C36" sqref="C33:C36"/>
    </sheetView>
  </sheetViews>
  <sheetFormatPr defaultRowHeight="13.2" x14ac:dyDescent="0.25"/>
  <cols>
    <col min="2" max="2" width="28.6640625" customWidth="1"/>
    <col min="3" max="3" width="11.6640625" bestFit="1" customWidth="1"/>
  </cols>
  <sheetData>
    <row r="3" spans="2:3" x14ac:dyDescent="0.25">
      <c r="B3" t="s">
        <v>108</v>
      </c>
      <c r="C3" s="28">
        <v>436</v>
      </c>
    </row>
    <row r="4" spans="2:3" x14ac:dyDescent="0.25">
      <c r="B4" t="s">
        <v>131</v>
      </c>
      <c r="C4" s="1">
        <v>729.3</v>
      </c>
    </row>
    <row r="5" spans="2:3" x14ac:dyDescent="0.25">
      <c r="B5" t="s">
        <v>264</v>
      </c>
      <c r="C5">
        <v>43.18</v>
      </c>
    </row>
    <row r="6" spans="2:3" x14ac:dyDescent="0.25">
      <c r="B6" t="s">
        <v>265</v>
      </c>
      <c r="C6">
        <v>686.12</v>
      </c>
    </row>
    <row r="7" spans="2:3" x14ac:dyDescent="0.25">
      <c r="B7" t="s">
        <v>132</v>
      </c>
      <c r="C7" s="1">
        <v>191.53</v>
      </c>
    </row>
    <row r="8" spans="2:3" x14ac:dyDescent="0.25">
      <c r="B8" t="s">
        <v>245</v>
      </c>
      <c r="C8" s="1">
        <v>113.72</v>
      </c>
    </row>
    <row r="9" spans="2:3" x14ac:dyDescent="0.25">
      <c r="B9" t="s">
        <v>244</v>
      </c>
      <c r="C9" s="1">
        <v>67.430000000000007</v>
      </c>
    </row>
    <row r="10" spans="2:3" x14ac:dyDescent="0.25">
      <c r="B10" t="s">
        <v>133</v>
      </c>
      <c r="C10" t="s">
        <v>301</v>
      </c>
    </row>
    <row r="11" spans="2:3" x14ac:dyDescent="0.25">
      <c r="B11" t="s">
        <v>137</v>
      </c>
      <c r="C11" t="s">
        <v>300</v>
      </c>
    </row>
    <row r="12" spans="2:3" x14ac:dyDescent="0.25">
      <c r="B12" t="s">
        <v>134</v>
      </c>
      <c r="C12" s="28" t="s">
        <v>303</v>
      </c>
    </row>
    <row r="13" spans="2:3" x14ac:dyDescent="0.25">
      <c r="B13" t="s">
        <v>135</v>
      </c>
      <c r="C13" t="s">
        <v>302</v>
      </c>
    </row>
    <row r="14" spans="2:3" x14ac:dyDescent="0.25">
      <c r="B14" t="s">
        <v>136</v>
      </c>
      <c r="C14" t="s">
        <v>304</v>
      </c>
    </row>
    <row r="16" spans="2:3" x14ac:dyDescent="0.25">
      <c r="B16" s="16" t="s">
        <v>192</v>
      </c>
    </row>
    <row r="17" spans="2:5" x14ac:dyDescent="0.25">
      <c r="B17" t="s">
        <v>193</v>
      </c>
      <c r="C17">
        <f>'Siltuma aprēķins'!E14</f>
        <v>56.31</v>
      </c>
    </row>
    <row r="18" spans="2:5" x14ac:dyDescent="0.25">
      <c r="B18" t="s">
        <v>194</v>
      </c>
      <c r="C18">
        <f>'Siltuma aprēķins'!E18</f>
        <v>21.9</v>
      </c>
    </row>
    <row r="19" spans="2:5" x14ac:dyDescent="0.25">
      <c r="B19" t="s">
        <v>113</v>
      </c>
      <c r="C19" s="1">
        <f>'Siltuma aprēķins'!E15</f>
        <v>7.81</v>
      </c>
    </row>
    <row r="20" spans="2:5" x14ac:dyDescent="0.25">
      <c r="B20" t="s">
        <v>243</v>
      </c>
      <c r="C20">
        <f>ROUND(Elektrība!F4,2)</f>
        <v>278.45999999999998</v>
      </c>
    </row>
    <row r="22" spans="2:5" x14ac:dyDescent="0.25">
      <c r="B22" s="16" t="s">
        <v>138</v>
      </c>
    </row>
    <row r="23" spans="2:5" x14ac:dyDescent="0.25">
      <c r="B23" t="s">
        <v>139</v>
      </c>
      <c r="C23">
        <v>3.2307000000000001</v>
      </c>
      <c r="E23" s="1"/>
    </row>
    <row r="24" spans="2:5" x14ac:dyDescent="0.25">
      <c r="B24" t="s">
        <v>100</v>
      </c>
      <c r="C24">
        <v>9.6074000000000002</v>
      </c>
    </row>
    <row r="25" spans="2:5" x14ac:dyDescent="0.25">
      <c r="B25" t="s">
        <v>140</v>
      </c>
      <c r="C25">
        <f>Rēķini!H2</f>
        <v>6.9107000000000003</v>
      </c>
    </row>
    <row r="26" spans="2:5" x14ac:dyDescent="0.25">
      <c r="B26" t="s">
        <v>13</v>
      </c>
      <c r="C26" s="30">
        <f>'Siltuma aprēķins'!U3</f>
        <v>6.7683033600000009</v>
      </c>
    </row>
    <row r="27" spans="2:5" x14ac:dyDescent="0.25">
      <c r="B27" t="s">
        <v>271</v>
      </c>
      <c r="C27" s="30">
        <f>'Siltuma aprēķins'!I20</f>
        <v>0.68024903780156087</v>
      </c>
    </row>
    <row r="28" spans="2:5" x14ac:dyDescent="0.25">
      <c r="B28" t="s">
        <v>272</v>
      </c>
      <c r="C28" s="30">
        <f>'Siltuma aprēķins'!I21</f>
        <v>0.62965200193202331</v>
      </c>
    </row>
    <row r="29" spans="2:5" x14ac:dyDescent="0.25">
      <c r="B29" t="s">
        <v>17</v>
      </c>
      <c r="C29">
        <v>3.6999999999999998E-2</v>
      </c>
    </row>
    <row r="30" spans="2:5" x14ac:dyDescent="0.25">
      <c r="B30" t="s">
        <v>195</v>
      </c>
      <c r="C30">
        <f>'Siltuma aprēķins'!F6</f>
        <v>83.01</v>
      </c>
    </row>
    <row r="31" spans="2:5" x14ac:dyDescent="0.25">
      <c r="B31" t="s">
        <v>213</v>
      </c>
      <c r="C31">
        <v>0.60440000000000005</v>
      </c>
    </row>
    <row r="32" spans="2:5" x14ac:dyDescent="0.25">
      <c r="B32" t="s">
        <v>242</v>
      </c>
      <c r="C32">
        <v>0.31559999999999999</v>
      </c>
    </row>
    <row r="33" spans="2:3" x14ac:dyDescent="0.25">
      <c r="B33" t="s">
        <v>283</v>
      </c>
      <c r="C33" s="30">
        <v>0.24759999999999999</v>
      </c>
    </row>
    <row r="34" spans="2:3" x14ac:dyDescent="0.25">
      <c r="B34" t="s">
        <v>284</v>
      </c>
      <c r="C34" s="30">
        <v>9.7500000000000003E-2</v>
      </c>
    </row>
    <row r="35" spans="2:3" x14ac:dyDescent="0.25">
      <c r="B35" t="s">
        <v>285</v>
      </c>
      <c r="C35" s="30">
        <v>0.26750000000000002</v>
      </c>
    </row>
    <row r="36" spans="2:3" x14ac:dyDescent="0.25">
      <c r="B36" t="s">
        <v>286</v>
      </c>
      <c r="C36" s="30">
        <v>0.1053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Pict="0" macro="[0]!IztīrītElektrību">
                <anchor moveWithCells="1" sizeWithCells="1">
                  <from>
                    <xdr:col>5</xdr:col>
                    <xdr:colOff>15240</xdr:colOff>
                    <xdr:row>4</xdr:row>
                    <xdr:rowOff>15240</xdr:rowOff>
                  </from>
                  <to>
                    <xdr:col>7</xdr:col>
                    <xdr:colOff>358140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Pict="0" macro="[0]!IztīrītUdeni">
                <anchor moveWithCells="1" sizeWithCells="1">
                  <from>
                    <xdr:col>4</xdr:col>
                    <xdr:colOff>472440</xdr:colOff>
                    <xdr:row>0</xdr:row>
                    <xdr:rowOff>121920</xdr:rowOff>
                  </from>
                  <to>
                    <xdr:col>7</xdr:col>
                    <xdr:colOff>327660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2C88-D0DB-4F50-9546-7FCFC035402D}">
  <sheetPr codeName="Sheet2"/>
  <dimension ref="A1:AA61"/>
  <sheetViews>
    <sheetView zoomScaleNormal="100" workbookViewId="0">
      <pane xSplit="4" topLeftCell="H1" activePane="topRight" state="frozen"/>
      <selection pane="topRight" activeCell="I5" sqref="I5"/>
    </sheetView>
  </sheetViews>
  <sheetFormatPr defaultRowHeight="13.2" x14ac:dyDescent="0.25"/>
  <cols>
    <col min="1" max="2" width="7.6640625" customWidth="1"/>
    <col min="3" max="3" width="9.88671875" bestFit="1" customWidth="1"/>
    <col min="4" max="4" width="34" bestFit="1" customWidth="1"/>
    <col min="5" max="5" width="19.6640625" customWidth="1"/>
    <col min="6" max="6" width="17.33203125" bestFit="1" customWidth="1"/>
    <col min="7" max="7" width="13.88671875" customWidth="1"/>
    <col min="8" max="8" width="11.44140625" customWidth="1"/>
    <col min="9" max="9" width="11" customWidth="1"/>
    <col min="10" max="10" width="9.44140625" customWidth="1"/>
    <col min="11" max="11" width="11.5546875" customWidth="1"/>
    <col min="12" max="12" width="15.5546875" customWidth="1"/>
    <col min="13" max="13" width="12.88671875" customWidth="1"/>
    <col min="14" max="14" width="16.33203125" customWidth="1"/>
    <col min="15" max="15" width="13.88671875" bestFit="1" customWidth="1"/>
    <col min="16" max="16" width="13.88671875" customWidth="1"/>
    <col min="17" max="17" width="12.6640625" customWidth="1"/>
    <col min="18" max="18" width="13.5546875" bestFit="1" customWidth="1"/>
    <col min="19" max="19" width="12.109375" customWidth="1"/>
    <col min="20" max="20" width="12.88671875" customWidth="1"/>
    <col min="21" max="21" width="37.5546875" customWidth="1"/>
    <col min="23" max="23" width="0" hidden="1" customWidth="1"/>
  </cols>
  <sheetData>
    <row r="1" spans="1:27" x14ac:dyDescent="0.25">
      <c r="A1">
        <v>2026</v>
      </c>
      <c r="D1" s="16" t="str">
        <f>Rekvizīti!C11</f>
        <v>MARTS</v>
      </c>
      <c r="E1" s="16" t="str">
        <f>Rekvizīti!C13</f>
        <v>APRĪLIS</v>
      </c>
      <c r="F1" s="16" t="str">
        <f>Rekvizīti!C14</f>
        <v>MAIJS</v>
      </c>
      <c r="H1" s="30">
        <f>H2-G2</f>
        <v>3.68</v>
      </c>
      <c r="J1">
        <f>ROUND(J2/12,2)</f>
        <v>0.8</v>
      </c>
      <c r="L1" s="1">
        <f>ROUND($L$2/12,2)</f>
        <v>5.62</v>
      </c>
    </row>
    <row r="2" spans="1:27" x14ac:dyDescent="0.25">
      <c r="D2" s="16" t="str">
        <f>Rekvizīti!C12</f>
        <v>04</v>
      </c>
      <c r="E2">
        <f>Rekvizīti!C31</f>
        <v>0.60440000000000005</v>
      </c>
      <c r="F2">
        <f>Rekvizīti!C32</f>
        <v>0.31559999999999999</v>
      </c>
      <c r="G2">
        <f>Rekvizīti!C23</f>
        <v>3.2307000000000001</v>
      </c>
      <c r="H2" s="30">
        <v>6.9107000000000003</v>
      </c>
      <c r="I2" s="1">
        <f>Rekvizīti!C26</f>
        <v>6.7683033600000009</v>
      </c>
      <c r="J2">
        <f>Rekvizīti!C24</f>
        <v>9.6074000000000002</v>
      </c>
      <c r="K2" s="1">
        <f>ROUND((E33)/16,2)</f>
        <v>7.11</v>
      </c>
      <c r="L2" s="1">
        <f>Elektrība!J4</f>
        <v>67.430000000000007</v>
      </c>
      <c r="M2" s="126">
        <f>'Siltuma aprēķins'!I21</f>
        <v>0.62965200193202331</v>
      </c>
      <c r="N2" s="126"/>
      <c r="O2" s="30">
        <f>Rekvizīti!C29</f>
        <v>3.6999999999999998E-2</v>
      </c>
      <c r="P2" s="30"/>
    </row>
    <row r="3" spans="1:27" x14ac:dyDescent="0.25">
      <c r="D3" s="16"/>
      <c r="H3" s="30"/>
      <c r="I3" s="1"/>
      <c r="K3" s="1"/>
      <c r="L3" s="1"/>
      <c r="M3" s="30">
        <f>'Siltuma aprēķins'!I20</f>
        <v>0.68024903780156087</v>
      </c>
      <c r="N3" s="30"/>
      <c r="O3" s="30"/>
      <c r="P3" s="30"/>
    </row>
    <row r="4" spans="1:27" x14ac:dyDescent="0.25">
      <c r="E4" t="s">
        <v>213</v>
      </c>
      <c r="F4" t="s">
        <v>242</v>
      </c>
      <c r="G4" t="s">
        <v>12</v>
      </c>
      <c r="H4" t="s">
        <v>116</v>
      </c>
      <c r="I4" t="s">
        <v>13</v>
      </c>
      <c r="J4" t="s">
        <v>14</v>
      </c>
      <c r="K4" t="s">
        <v>15</v>
      </c>
      <c r="L4" t="s">
        <v>16</v>
      </c>
      <c r="M4" t="s">
        <v>305</v>
      </c>
      <c r="N4" t="s">
        <v>306</v>
      </c>
      <c r="O4" t="s">
        <v>17</v>
      </c>
      <c r="P4" t="s">
        <v>295</v>
      </c>
      <c r="Q4" t="s">
        <v>214</v>
      </c>
      <c r="R4" t="s">
        <v>215</v>
      </c>
      <c r="S4" s="9" t="s">
        <v>59</v>
      </c>
      <c r="T4" s="9" t="s">
        <v>60</v>
      </c>
      <c r="U4" s="9" t="s">
        <v>109</v>
      </c>
      <c r="W4" t="s">
        <v>33</v>
      </c>
      <c r="X4" s="9"/>
      <c r="AA4" s="9" t="s">
        <v>109</v>
      </c>
    </row>
    <row r="5" spans="1:27" x14ac:dyDescent="0.25">
      <c r="C5">
        <v>13.9</v>
      </c>
      <c r="D5" t="s">
        <v>203</v>
      </c>
      <c r="E5" s="1">
        <f>C5*$E$2</f>
        <v>8.4011600000000008</v>
      </c>
      <c r="F5" s="1">
        <f>C5*$F$2</f>
        <v>4.3868400000000003</v>
      </c>
      <c r="G5" s="1">
        <f>ROUND(Ūdens!F2*Rēķini!$G$2,2)</f>
        <v>7.75</v>
      </c>
      <c r="H5" s="1">
        <f>ROUND(Ūdens!AC2,2)</f>
        <v>1.31</v>
      </c>
      <c r="I5" s="1">
        <f>ROUND($I$2*Ūdens!A2,2)</f>
        <v>6.77</v>
      </c>
      <c r="J5" s="1">
        <f>ROUND($J$2/12,2)</f>
        <v>0.8</v>
      </c>
      <c r="K5" s="1">
        <f>$K$2*0</f>
        <v>0</v>
      </c>
      <c r="L5" s="1">
        <f>ROUND($L$2/12,2)</f>
        <v>5.62</v>
      </c>
      <c r="M5" s="1">
        <v>3.72</v>
      </c>
      <c r="N5" s="1">
        <v>17.37</v>
      </c>
      <c r="O5" s="1">
        <f t="shared" ref="O5:O15" si="0">ROUND(C5*$O$2,2)</f>
        <v>0.51</v>
      </c>
      <c r="P5" s="1"/>
      <c r="Q5" s="1"/>
      <c r="S5" s="10">
        <f>SUM(E5:R5)</f>
        <v>56.637999999999998</v>
      </c>
      <c r="T5" s="11">
        <f t="shared" ref="T5:T16" si="1">SUM(G5:N5)</f>
        <v>43.34</v>
      </c>
      <c r="U5" s="11" t="s">
        <v>307</v>
      </c>
      <c r="V5" t="s">
        <v>56</v>
      </c>
      <c r="AA5" s="11" t="s">
        <v>119</v>
      </c>
    </row>
    <row r="6" spans="1:27" x14ac:dyDescent="0.25">
      <c r="C6">
        <v>41.9</v>
      </c>
      <c r="D6" t="s">
        <v>202</v>
      </c>
      <c r="E6" s="1">
        <f>ROUND(C6*$E$2,2)</f>
        <v>25.32</v>
      </c>
      <c r="F6" s="1">
        <f>ROUND(C6*$F$2,2)</f>
        <v>13.22</v>
      </c>
      <c r="G6" s="1">
        <f>ROUND(Ūdens!F3*Rēķini!$G$2,2)</f>
        <v>3.94</v>
      </c>
      <c r="H6" s="1">
        <f>ROUND(Ūdens!AC3,2)</f>
        <v>1.38</v>
      </c>
      <c r="I6" s="1">
        <f>ROUND($I$2*Ūdens!A3,2)</f>
        <v>6.77</v>
      </c>
      <c r="J6" s="1">
        <f t="shared" ref="J6:J15" si="2">ROUND($J$2/12,2)</f>
        <v>0.8</v>
      </c>
      <c r="K6" s="1">
        <f>ROUND($K$2*1,2)</f>
        <v>7.11</v>
      </c>
      <c r="L6" s="1">
        <f t="shared" ref="L6:L15" si="3">ROUND($L$2/12,2)</f>
        <v>5.62</v>
      </c>
      <c r="M6" s="1">
        <v>11.21</v>
      </c>
      <c r="N6" s="1">
        <v>68.69</v>
      </c>
      <c r="O6" s="1">
        <f t="shared" si="0"/>
        <v>1.55</v>
      </c>
      <c r="P6" s="1"/>
      <c r="Q6" s="1"/>
      <c r="R6" s="1"/>
      <c r="S6" s="10">
        <f>SUM(E6:R6)</f>
        <v>145.61000000000001</v>
      </c>
      <c r="T6" s="11">
        <f t="shared" si="1"/>
        <v>105.52</v>
      </c>
      <c r="U6" s="11" t="s">
        <v>308</v>
      </c>
      <c r="V6" t="s">
        <v>87</v>
      </c>
      <c r="W6" s="1">
        <f>T6+T5+T7</f>
        <v>261.3</v>
      </c>
      <c r="X6" s="1"/>
      <c r="AA6" s="11"/>
    </row>
    <row r="7" spans="1:27" x14ac:dyDescent="0.25">
      <c r="A7" t="s">
        <v>2</v>
      </c>
      <c r="C7">
        <v>111.1</v>
      </c>
      <c r="D7" t="s">
        <v>210</v>
      </c>
      <c r="E7" s="1">
        <f>ROUND(C7*$E$2,2)</f>
        <v>67.150000000000006</v>
      </c>
      <c r="F7" s="1">
        <f>ROUND(C7*$F$2,2)</f>
        <v>35.06</v>
      </c>
      <c r="G7" s="1">
        <f>ROUND(Ūdens!AB4,2)</f>
        <v>1.84</v>
      </c>
      <c r="H7" s="1">
        <f>ROUND(Ūdens!AC4,2)</f>
        <v>0.96</v>
      </c>
      <c r="I7" s="1">
        <f>ROUND($I$2*Ūdens!A4,2)</f>
        <v>16.920000000000002</v>
      </c>
      <c r="J7" s="1">
        <f t="shared" si="2"/>
        <v>0.8</v>
      </c>
      <c r="K7" s="1">
        <f>ROUND($K$2,2)</f>
        <v>7.11</v>
      </c>
      <c r="L7" s="1">
        <f>ROUND($L$2/12,2)</f>
        <v>5.62</v>
      </c>
      <c r="M7" s="1">
        <v>27.51</v>
      </c>
      <c r="N7" s="1">
        <v>51.68</v>
      </c>
      <c r="O7" s="1">
        <f t="shared" si="0"/>
        <v>4.1100000000000003</v>
      </c>
      <c r="P7" s="1"/>
      <c r="Q7" s="1"/>
      <c r="S7" s="10">
        <f>SUM(E7:R7)</f>
        <v>218.76000000000002</v>
      </c>
      <c r="T7" s="11">
        <f t="shared" si="1"/>
        <v>112.44</v>
      </c>
      <c r="U7" s="11" t="s">
        <v>309</v>
      </c>
      <c r="V7" t="s">
        <v>2</v>
      </c>
      <c r="AA7" s="11" t="s">
        <v>129</v>
      </c>
    </row>
    <row r="8" spans="1:27" x14ac:dyDescent="0.25">
      <c r="A8" t="s">
        <v>3</v>
      </c>
      <c r="C8">
        <v>109.4</v>
      </c>
      <c r="D8" t="s">
        <v>209</v>
      </c>
      <c r="E8" s="1">
        <f>ROUND(C8*$E$2,2)</f>
        <v>66.12</v>
      </c>
      <c r="F8" s="1"/>
      <c r="G8" s="1">
        <f>ROUND(Ūdens!AB5,2)</f>
        <v>12.25</v>
      </c>
      <c r="H8" s="1">
        <f>ROUND(Ūdens!AC5,2)</f>
        <v>18.309999999999999</v>
      </c>
      <c r="I8" s="1">
        <f>ROUND($I$2*Ūdens!A5,2)</f>
        <v>16.920000000000002</v>
      </c>
      <c r="J8" s="1">
        <f t="shared" si="2"/>
        <v>0.8</v>
      </c>
      <c r="K8" s="1">
        <f>$K$2*2</f>
        <v>14.22</v>
      </c>
      <c r="L8" s="1">
        <f>ROUND($L$2/12,2)</f>
        <v>5.62</v>
      </c>
      <c r="M8" s="1">
        <v>27.09</v>
      </c>
      <c r="N8" s="1">
        <v>49.91</v>
      </c>
      <c r="O8" s="1">
        <f t="shared" si="0"/>
        <v>4.05</v>
      </c>
      <c r="P8" s="1"/>
      <c r="Q8" s="1">
        <f>-E8-O8-30</f>
        <v>-100.17</v>
      </c>
      <c r="R8" s="38"/>
      <c r="S8" s="10">
        <f t="shared" ref="S8:S13" si="4">SUM(E8:Q8)</f>
        <v>115.12000000000002</v>
      </c>
      <c r="T8" s="11">
        <f>SUM(G8:N8)</f>
        <v>145.12</v>
      </c>
      <c r="U8" s="11" t="s">
        <v>310</v>
      </c>
      <c r="V8" t="s">
        <v>3</v>
      </c>
      <c r="Y8" s="1">
        <f>SUM(G8:Q8)</f>
        <v>49.000000000000014</v>
      </c>
      <c r="AA8" s="11" t="s">
        <v>120</v>
      </c>
    </row>
    <row r="9" spans="1:27" x14ac:dyDescent="0.25">
      <c r="A9" t="s">
        <v>4</v>
      </c>
      <c r="C9">
        <v>28.4</v>
      </c>
      <c r="D9" t="s">
        <v>208</v>
      </c>
      <c r="E9" s="1">
        <f>C9*$E$2</f>
        <v>17.164960000000001</v>
      </c>
      <c r="F9" s="1"/>
      <c r="G9" s="1">
        <f>ROUND(Ūdens!F6*Rēķini!$G$2,2)</f>
        <v>0.16</v>
      </c>
      <c r="H9" s="1">
        <f>ROUND(Ūdens!G6*Rēķini!$H$2,2)</f>
        <v>0.28000000000000003</v>
      </c>
      <c r="I9" s="1">
        <f>ROUND($I$2*Ūdens!A6,2)</f>
        <v>6.77</v>
      </c>
      <c r="J9" s="1">
        <f t="shared" si="2"/>
        <v>0.8</v>
      </c>
      <c r="K9" s="1">
        <f>K2*0</f>
        <v>0</v>
      </c>
      <c r="L9" s="1">
        <f t="shared" si="3"/>
        <v>5.62</v>
      </c>
      <c r="M9" s="1">
        <v>7.03</v>
      </c>
      <c r="N9" s="1">
        <v>0</v>
      </c>
      <c r="O9" s="1">
        <f t="shared" si="0"/>
        <v>1.05</v>
      </c>
      <c r="P9" s="1"/>
      <c r="Q9" s="1">
        <f>-E9-O9</f>
        <v>-18.214960000000001</v>
      </c>
      <c r="R9" s="1"/>
      <c r="S9" s="94">
        <f t="shared" si="4"/>
        <v>20.66</v>
      </c>
      <c r="T9" s="38">
        <f t="shared" si="1"/>
        <v>20.66</v>
      </c>
      <c r="U9" s="38" t="s">
        <v>311</v>
      </c>
      <c r="V9" t="s">
        <v>4</v>
      </c>
      <c r="Y9" s="1">
        <f>SUM(G9:Q9)</f>
        <v>3.4950399999999995</v>
      </c>
      <c r="AA9" s="38" t="s">
        <v>121</v>
      </c>
    </row>
    <row r="10" spans="1:27" s="121" customFormat="1" ht="13.5" customHeight="1" x14ac:dyDescent="0.25">
      <c r="A10" s="121" t="s">
        <v>6</v>
      </c>
      <c r="C10" s="121">
        <v>84.7</v>
      </c>
      <c r="D10" s="121" t="s">
        <v>204</v>
      </c>
      <c r="E10" s="122">
        <f>ROUND(C10*$E$2,2)</f>
        <v>51.19</v>
      </c>
      <c r="F10" s="122"/>
      <c r="G10" s="122">
        <f>Ūdens!AB7</f>
        <v>18</v>
      </c>
      <c r="H10" s="122">
        <f>Ūdens!AC7</f>
        <v>23.57</v>
      </c>
      <c r="I10" s="122">
        <f>ROUND(($I$2*Ūdens!A7),2)</f>
        <v>13.54</v>
      </c>
      <c r="J10" s="122">
        <f t="shared" si="2"/>
        <v>0.8</v>
      </c>
      <c r="K10" s="122">
        <f>$K$2*3</f>
        <v>21.330000000000002</v>
      </c>
      <c r="L10" s="122">
        <f t="shared" si="3"/>
        <v>5.62</v>
      </c>
      <c r="M10" s="122">
        <v>20.98</v>
      </c>
      <c r="N10" s="122">
        <v>36.020000000000003</v>
      </c>
      <c r="O10" s="122">
        <f t="shared" si="0"/>
        <v>3.13</v>
      </c>
      <c r="P10" s="122"/>
      <c r="Q10" s="122">
        <f>-E10-O10-21.23</f>
        <v>-75.55</v>
      </c>
      <c r="R10" s="123"/>
      <c r="S10" s="124">
        <f t="shared" si="4"/>
        <v>118.62999999999998</v>
      </c>
      <c r="T10" s="125">
        <f t="shared" si="1"/>
        <v>139.86000000000001</v>
      </c>
      <c r="U10" s="125" t="s">
        <v>312</v>
      </c>
      <c r="V10" s="121" t="s">
        <v>6</v>
      </c>
      <c r="W10" s="122"/>
      <c r="AA10" s="125" t="s">
        <v>122</v>
      </c>
    </row>
    <row r="11" spans="1:27" s="121" customFormat="1" x14ac:dyDescent="0.25">
      <c r="A11" s="121" t="s">
        <v>7</v>
      </c>
      <c r="C11" s="121">
        <v>47.8</v>
      </c>
      <c r="D11" s="121" t="s">
        <v>294</v>
      </c>
      <c r="E11" s="122">
        <f>ROUND(C11*$E$2,2)</f>
        <v>28.89</v>
      </c>
      <c r="F11" s="122"/>
      <c r="G11" s="122">
        <f>Ūdens!AB8</f>
        <v>21.58</v>
      </c>
      <c r="H11" s="122">
        <f>Ūdens!AC8</f>
        <v>26.74</v>
      </c>
      <c r="I11" s="122">
        <f>ROUND($I$2*Ūdens!A8,2)</f>
        <v>6.77</v>
      </c>
      <c r="J11" s="122">
        <f t="shared" si="2"/>
        <v>0.8</v>
      </c>
      <c r="K11" s="122">
        <f>ROUND($K$2*2,2)</f>
        <v>14.22</v>
      </c>
      <c r="L11" s="122">
        <f t="shared" si="3"/>
        <v>5.62</v>
      </c>
      <c r="M11" s="122">
        <v>11.84</v>
      </c>
      <c r="N11" s="122">
        <v>7.88</v>
      </c>
      <c r="O11" s="122">
        <f t="shared" si="0"/>
        <v>1.77</v>
      </c>
      <c r="P11" s="122"/>
      <c r="Q11" s="122">
        <f>-E11-O11</f>
        <v>-30.66</v>
      </c>
      <c r="R11" s="122"/>
      <c r="S11" s="124">
        <f t="shared" si="4"/>
        <v>95.449999999999989</v>
      </c>
      <c r="T11" s="125">
        <f t="shared" si="1"/>
        <v>95.449999999999989</v>
      </c>
      <c r="U11" s="125" t="s">
        <v>313</v>
      </c>
      <c r="V11" s="121" t="s">
        <v>7</v>
      </c>
      <c r="AA11" s="125" t="s">
        <v>123</v>
      </c>
    </row>
    <row r="12" spans="1:27" s="121" customFormat="1" x14ac:dyDescent="0.25">
      <c r="A12" s="121" t="s">
        <v>8</v>
      </c>
      <c r="C12" s="121">
        <v>65.7</v>
      </c>
      <c r="D12" s="121" t="s">
        <v>206</v>
      </c>
      <c r="E12" s="122">
        <f>C12*$E$2</f>
        <v>39.709080000000007</v>
      </c>
      <c r="F12" s="122"/>
      <c r="G12" s="122">
        <f>Ūdens!AB9</f>
        <v>0</v>
      </c>
      <c r="H12" s="122">
        <f>Ūdens!AC9</f>
        <v>0</v>
      </c>
      <c r="I12" s="122">
        <f>ROUND(($I$2*Ūdens!A9),2)</f>
        <v>13.54</v>
      </c>
      <c r="J12" s="122">
        <f t="shared" si="2"/>
        <v>0.8</v>
      </c>
      <c r="K12" s="122">
        <f>ROUND($K$2,2)</f>
        <v>7.11</v>
      </c>
      <c r="L12" s="122">
        <f t="shared" si="3"/>
        <v>5.62</v>
      </c>
      <c r="M12" s="122">
        <v>16.27</v>
      </c>
      <c r="N12" s="122">
        <v>0</v>
      </c>
      <c r="O12" s="122">
        <f t="shared" si="0"/>
        <v>2.4300000000000002</v>
      </c>
      <c r="P12" s="122"/>
      <c r="Q12" s="122">
        <f>-E12-O12</f>
        <v>-42.139080000000007</v>
      </c>
      <c r="R12" s="122"/>
      <c r="S12" s="124">
        <f t="shared" si="4"/>
        <v>43.34</v>
      </c>
      <c r="T12" s="125">
        <f t="shared" si="1"/>
        <v>43.34</v>
      </c>
      <c r="U12" s="125" t="s">
        <v>314</v>
      </c>
      <c r="V12" s="121" t="s">
        <v>8</v>
      </c>
      <c r="AA12" s="125" t="s">
        <v>124</v>
      </c>
    </row>
    <row r="13" spans="1:27" s="121" customFormat="1" ht="13.5" customHeight="1" x14ac:dyDescent="0.25">
      <c r="A13" s="121" t="s">
        <v>9</v>
      </c>
      <c r="C13" s="121">
        <v>47.1</v>
      </c>
      <c r="D13" s="121" t="s">
        <v>207</v>
      </c>
      <c r="E13" s="122">
        <f>ROUND(C13*$E$2,2)</f>
        <v>28.47</v>
      </c>
      <c r="F13" s="122"/>
      <c r="G13" s="122">
        <f>ROUND(Ūdens!AB10,2)</f>
        <v>10.18</v>
      </c>
      <c r="H13" s="122">
        <f>ROUND(Ūdens!AC10,2)</f>
        <v>24.67</v>
      </c>
      <c r="I13" s="122">
        <f>ROUND($I$2*Ūdens!A10,2)</f>
        <v>6.77</v>
      </c>
      <c r="J13" s="122">
        <f t="shared" si="2"/>
        <v>0.8</v>
      </c>
      <c r="K13" s="122">
        <f>ROUND($K$2*1,2)</f>
        <v>7.11</v>
      </c>
      <c r="L13" s="122">
        <f t="shared" si="3"/>
        <v>5.62</v>
      </c>
      <c r="M13" s="122">
        <v>11.66</v>
      </c>
      <c r="N13" s="122">
        <v>7.17</v>
      </c>
      <c r="O13" s="122">
        <f t="shared" si="0"/>
        <v>1.74</v>
      </c>
      <c r="P13" s="122"/>
      <c r="Q13" s="122">
        <f>-E13-O13</f>
        <v>-30.209999999999997</v>
      </c>
      <c r="R13" s="122"/>
      <c r="S13" s="124">
        <f t="shared" si="4"/>
        <v>73.98</v>
      </c>
      <c r="T13" s="125">
        <f t="shared" si="1"/>
        <v>73.98</v>
      </c>
      <c r="U13" s="125" t="s">
        <v>315</v>
      </c>
      <c r="V13" s="121" t="s">
        <v>9</v>
      </c>
      <c r="AA13" s="125" t="s">
        <v>125</v>
      </c>
    </row>
    <row r="14" spans="1:27" x14ac:dyDescent="0.25">
      <c r="A14" t="s">
        <v>35</v>
      </c>
      <c r="C14">
        <v>64.400000000000006</v>
      </c>
      <c r="D14" t="s">
        <v>211</v>
      </c>
      <c r="E14" s="1">
        <f>C14*$E$2</f>
        <v>38.92336000000001</v>
      </c>
      <c r="F14" s="1"/>
      <c r="G14" s="1">
        <f>ROUND(Ūdens!AB11,2)</f>
        <v>26.11</v>
      </c>
      <c r="H14" s="1">
        <f>ROUND(Ūdens!AC11,2)</f>
        <v>40.22</v>
      </c>
      <c r="I14" s="1">
        <f>ROUND($I$2*Ūdens!A11,2)</f>
        <v>13.54</v>
      </c>
      <c r="J14" s="1">
        <f t="shared" si="2"/>
        <v>0.8</v>
      </c>
      <c r="K14" s="1">
        <f>ROUND($K$2*3,2)</f>
        <v>21.33</v>
      </c>
      <c r="L14" s="1">
        <f t="shared" si="3"/>
        <v>5.62</v>
      </c>
      <c r="M14" s="1">
        <v>15.95</v>
      </c>
      <c r="N14" s="1">
        <v>47.36</v>
      </c>
      <c r="O14" s="1">
        <f t="shared" si="0"/>
        <v>2.38</v>
      </c>
      <c r="P14" s="1"/>
      <c r="Q14" s="1"/>
      <c r="R14" s="1"/>
      <c r="S14" s="10">
        <f>SUM(E14:R14)</f>
        <v>212.23336</v>
      </c>
      <c r="T14" s="11">
        <f t="shared" si="1"/>
        <v>170.93</v>
      </c>
      <c r="U14" s="11" t="s">
        <v>316</v>
      </c>
      <c r="V14" t="s">
        <v>10</v>
      </c>
      <c r="AA14" s="11" t="s">
        <v>126</v>
      </c>
    </row>
    <row r="15" spans="1:27" x14ac:dyDescent="0.25">
      <c r="A15" t="s">
        <v>11</v>
      </c>
      <c r="B15">
        <v>93.7</v>
      </c>
      <c r="C15">
        <v>99.1</v>
      </c>
      <c r="D15" t="s">
        <v>212</v>
      </c>
      <c r="E15" s="1">
        <f>ROUND(C15*$E$2,2)</f>
        <v>59.9</v>
      </c>
      <c r="F15" s="1"/>
      <c r="G15" s="1">
        <f>Ūdens!X12+Ūdens!Z12</f>
        <v>18.28</v>
      </c>
      <c r="H15" s="1">
        <f>Ūdens!Y12+Ūdens!AA12</f>
        <v>14.45</v>
      </c>
      <c r="I15" s="1">
        <f>ROUND($I$2*Ūdens!A12,2)</f>
        <v>16.920000000000002</v>
      </c>
      <c r="J15" s="1">
        <f t="shared" si="2"/>
        <v>0.8</v>
      </c>
      <c r="K15" s="1">
        <f>ROUND($K$2*2,2)</f>
        <v>14.22</v>
      </c>
      <c r="L15" s="1">
        <f t="shared" si="3"/>
        <v>5.62</v>
      </c>
      <c r="M15" s="1">
        <v>23.2</v>
      </c>
      <c r="N15" s="1">
        <v>17.84</v>
      </c>
      <c r="O15" s="1">
        <f t="shared" si="0"/>
        <v>3.67</v>
      </c>
      <c r="P15" s="1"/>
      <c r="Q15" s="1"/>
      <c r="R15" s="1"/>
      <c r="S15" s="10">
        <f>SUM(E15:Q15)</f>
        <v>174.89999999999998</v>
      </c>
      <c r="T15" s="11">
        <f t="shared" si="1"/>
        <v>111.33000000000001</v>
      </c>
      <c r="U15" s="11" t="s">
        <v>317</v>
      </c>
      <c r="V15" t="s">
        <v>11</v>
      </c>
      <c r="Y15" s="1">
        <f>SUM(G15:Q15)</f>
        <v>115.00000000000001</v>
      </c>
      <c r="AA15" s="11" t="s">
        <v>127</v>
      </c>
    </row>
    <row r="16" spans="1:27" s="121" customFormat="1" x14ac:dyDescent="0.25">
      <c r="A16" s="121" t="s">
        <v>18</v>
      </c>
      <c r="C16" s="121">
        <v>98.3</v>
      </c>
      <c r="D16" s="121" t="s">
        <v>5</v>
      </c>
      <c r="E16" s="122">
        <f>ROUND(C16*$E$2,2)</f>
        <v>59.41</v>
      </c>
      <c r="F16" s="122"/>
      <c r="G16" s="122">
        <f>Ūdens!AB13</f>
        <v>0</v>
      </c>
      <c r="H16" s="122">
        <f>ROUND(Ūdens!G13*Rēķini!$H$2,2)</f>
        <v>0.48</v>
      </c>
      <c r="I16" s="122">
        <f>ROUND($I$2*Ūdens!A13,2)</f>
        <v>6.77</v>
      </c>
      <c r="J16" s="122">
        <f>ROUND($J$2/12,2)</f>
        <v>0.8</v>
      </c>
      <c r="K16" s="122">
        <v>0</v>
      </c>
      <c r="L16" s="122">
        <f>ROUND($L$2/12,2)</f>
        <v>5.62</v>
      </c>
      <c r="M16" s="122">
        <v>24.34</v>
      </c>
      <c r="N16" s="122">
        <v>2.0499999999999998</v>
      </c>
      <c r="O16" s="122">
        <f>ROUND(C16*$O$2,2)</f>
        <v>3.64</v>
      </c>
      <c r="P16" s="122"/>
      <c r="Q16" s="122">
        <f>-E16-O16</f>
        <v>-63.05</v>
      </c>
      <c r="R16" s="122"/>
      <c r="S16" s="124">
        <f>SUM(E16:R16)</f>
        <v>40.06</v>
      </c>
      <c r="T16" s="125">
        <f t="shared" si="1"/>
        <v>40.06</v>
      </c>
      <c r="U16" s="125" t="s">
        <v>318</v>
      </c>
      <c r="V16" s="121" t="s">
        <v>77</v>
      </c>
      <c r="AA16" s="121" t="s">
        <v>128</v>
      </c>
    </row>
    <row r="17" spans="3:21" x14ac:dyDescent="0.25">
      <c r="C17">
        <v>109.4</v>
      </c>
      <c r="D17" t="s">
        <v>209</v>
      </c>
      <c r="E17" s="1"/>
      <c r="F17" s="112">
        <v>34.53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0">
        <f t="shared" ref="S17:S25" si="5">F17</f>
        <v>34.53</v>
      </c>
      <c r="T17" s="11"/>
    </row>
    <row r="18" spans="3:21" x14ac:dyDescent="0.25">
      <c r="C18">
        <v>28.4</v>
      </c>
      <c r="D18" t="s">
        <v>208</v>
      </c>
      <c r="E18" s="1"/>
      <c r="F18" s="112">
        <v>8.9600000000000009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0">
        <f t="shared" si="5"/>
        <v>8.9600000000000009</v>
      </c>
      <c r="T18" s="11"/>
    </row>
    <row r="19" spans="3:21" x14ac:dyDescent="0.25">
      <c r="C19">
        <v>84.7</v>
      </c>
      <c r="D19" t="s">
        <v>204</v>
      </c>
      <c r="E19" s="1"/>
      <c r="F19" s="112">
        <v>26.73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0">
        <f t="shared" si="5"/>
        <v>26.73</v>
      </c>
      <c r="T19" s="11"/>
    </row>
    <row r="20" spans="3:21" x14ac:dyDescent="0.25">
      <c r="C20">
        <v>47.8</v>
      </c>
      <c r="D20" t="s">
        <v>205</v>
      </c>
      <c r="E20" s="1"/>
      <c r="F20" s="112">
        <v>15.09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0">
        <f t="shared" si="5"/>
        <v>15.09</v>
      </c>
      <c r="T20" s="11"/>
    </row>
    <row r="21" spans="3:21" x14ac:dyDescent="0.25">
      <c r="C21">
        <v>65.7</v>
      </c>
      <c r="D21" t="s">
        <v>206</v>
      </c>
      <c r="E21" s="1"/>
      <c r="F21" s="112">
        <v>20.73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0">
        <f t="shared" si="5"/>
        <v>20.73</v>
      </c>
      <c r="T21" s="11"/>
    </row>
    <row r="22" spans="3:21" x14ac:dyDescent="0.25">
      <c r="C22">
        <v>47.1</v>
      </c>
      <c r="D22" t="s">
        <v>207</v>
      </c>
      <c r="E22" s="1"/>
      <c r="F22" s="112">
        <v>14.86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0">
        <f t="shared" si="5"/>
        <v>14.86</v>
      </c>
      <c r="T22" s="11"/>
    </row>
    <row r="23" spans="3:21" x14ac:dyDescent="0.25">
      <c r="C23">
        <v>64.400000000000006</v>
      </c>
      <c r="D23" t="s">
        <v>211</v>
      </c>
      <c r="E23" s="1"/>
      <c r="F23" s="112">
        <v>20.32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0">
        <f t="shared" si="5"/>
        <v>20.32</v>
      </c>
      <c r="T23" s="11"/>
    </row>
    <row r="24" spans="3:21" x14ac:dyDescent="0.25">
      <c r="C24">
        <v>99.1</v>
      </c>
      <c r="D24" t="s">
        <v>212</v>
      </c>
      <c r="E24" s="1"/>
      <c r="F24" s="112">
        <v>31.28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0">
        <f t="shared" si="5"/>
        <v>31.28</v>
      </c>
      <c r="T24" s="11"/>
    </row>
    <row r="25" spans="3:21" x14ac:dyDescent="0.25">
      <c r="C25">
        <v>98.3</v>
      </c>
      <c r="D25" t="s">
        <v>5</v>
      </c>
      <c r="E25" s="1"/>
      <c r="F25" s="112">
        <v>31.02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0">
        <f t="shared" si="5"/>
        <v>31.02</v>
      </c>
      <c r="T25" s="11"/>
    </row>
    <row r="26" spans="3:21" s="4" customFormat="1" ht="17.399999999999999" x14ac:dyDescent="0.3">
      <c r="C26" s="4">
        <f>C6+C5+C7+C8+C9+C10+C11+C12+C13+C14+C15+C16</f>
        <v>811.79999999999984</v>
      </c>
      <c r="D26" s="4" t="s">
        <v>19</v>
      </c>
      <c r="E26" s="5">
        <f>SUM(E5:E25)</f>
        <v>490.64855999999997</v>
      </c>
      <c r="F26" s="5">
        <f t="shared" ref="F26:T26" si="6">SUM(F5:F25)</f>
        <v>256.18684000000002</v>
      </c>
      <c r="G26" s="5">
        <f t="shared" si="6"/>
        <v>120.08999999999999</v>
      </c>
      <c r="H26" s="5">
        <f t="shared" si="6"/>
        <v>152.36999999999998</v>
      </c>
      <c r="I26" s="5">
        <f t="shared" si="6"/>
        <v>132</v>
      </c>
      <c r="J26" s="5">
        <f t="shared" si="6"/>
        <v>9.6</v>
      </c>
      <c r="K26" s="5">
        <f t="shared" si="6"/>
        <v>113.76</v>
      </c>
      <c r="L26" s="5">
        <f t="shared" si="6"/>
        <v>67.439999999999984</v>
      </c>
      <c r="M26" s="5">
        <f t="shared" si="6"/>
        <v>200.79999999999998</v>
      </c>
      <c r="N26" s="5">
        <f t="shared" si="6"/>
        <v>305.96999999999997</v>
      </c>
      <c r="O26" s="5">
        <f t="shared" si="6"/>
        <v>30.029999999999994</v>
      </c>
      <c r="P26" s="5">
        <f t="shared" si="6"/>
        <v>0</v>
      </c>
      <c r="Q26" s="5">
        <f>SUM(Q5:Q25)-Q14</f>
        <v>-359.99403999999998</v>
      </c>
      <c r="R26" s="5">
        <f t="shared" si="6"/>
        <v>0</v>
      </c>
      <c r="S26" s="5">
        <f t="shared" si="6"/>
        <v>1518.9013599999996</v>
      </c>
      <c r="T26" s="5">
        <f t="shared" si="6"/>
        <v>1102.03</v>
      </c>
      <c r="U26" s="5">
        <f>S27-T26</f>
        <v>160.68451999999957</v>
      </c>
    </row>
    <row r="27" spans="3:21" s="4" customFormat="1" ht="17.399999999999999" x14ac:dyDescent="0.3">
      <c r="D27" s="4" t="s">
        <v>260</v>
      </c>
      <c r="E27" s="5">
        <f>E5+O5+E6+O6+E7+O7+E14+O14+E15+O15</f>
        <v>211.91452000000001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113">
        <f>-E8-O8-E9-O9-E10-O10-E11-O11-E12-O12-E13-O13-E16-O16</f>
        <v>-308.76403999999997</v>
      </c>
      <c r="R27" s="5"/>
      <c r="S27" s="5">
        <f>S26-F26</f>
        <v>1262.7145199999995</v>
      </c>
    </row>
    <row r="28" spans="3:21" s="4" customFormat="1" ht="17.399999999999999" x14ac:dyDescent="0.3">
      <c r="D28" s="2" t="s">
        <v>259</v>
      </c>
      <c r="E28" s="5">
        <f>E26+Q26+O26</f>
        <v>160.68451999999999</v>
      </c>
      <c r="F28" s="5"/>
      <c r="G28" s="5"/>
      <c r="H28" s="5"/>
      <c r="I28" s="5"/>
      <c r="J28" s="5"/>
      <c r="K28" s="5"/>
      <c r="L28" s="110"/>
      <c r="M28" s="5"/>
      <c r="N28" s="5"/>
      <c r="Q28" s="113">
        <f>Q26-Q27</f>
        <v>-51.230000000000018</v>
      </c>
      <c r="R28" s="5"/>
      <c r="S28" s="5">
        <f>SUM(S5:S16)</f>
        <v>1315.3813599999999</v>
      </c>
      <c r="T28" s="5"/>
    </row>
    <row r="29" spans="3:21" x14ac:dyDescent="0.25">
      <c r="G29" s="1"/>
      <c r="R29" s="3"/>
      <c r="S29" s="3"/>
    </row>
    <row r="30" spans="3:21" x14ac:dyDescent="0.25">
      <c r="D30" t="str">
        <f>Rekvizīti!C10</f>
        <v>martā</v>
      </c>
      <c r="E30" t="s">
        <v>57</v>
      </c>
      <c r="F30" s="7" t="s">
        <v>22</v>
      </c>
      <c r="H30" s="1" t="s">
        <v>32</v>
      </c>
      <c r="R30" s="3"/>
      <c r="S30" s="3"/>
    </row>
    <row r="31" spans="3:21" x14ac:dyDescent="0.25">
      <c r="D31" t="s">
        <v>20</v>
      </c>
      <c r="E31" s="19">
        <f>ROUND(Rekvizīti!C7,2)</f>
        <v>191.53</v>
      </c>
      <c r="F31" s="8">
        <f>G26+(Ūdens!G14*G2)+J26</f>
        <v>200.31310199999999</v>
      </c>
      <c r="G31" s="1"/>
      <c r="H31" s="1">
        <f t="shared" ref="H31:H40" si="7">F31-E31</f>
        <v>8.7831019999999853</v>
      </c>
      <c r="J31" s="1"/>
      <c r="L31" s="1"/>
      <c r="R31" s="2"/>
      <c r="S31" s="2"/>
    </row>
    <row r="32" spans="3:21" x14ac:dyDescent="0.25">
      <c r="D32" t="s">
        <v>21</v>
      </c>
      <c r="E32" s="1">
        <f>ROUND(Rekvizīti!C4,2)</f>
        <v>729.3</v>
      </c>
      <c r="F32" s="8">
        <f>I26+(H26-(Ūdens!G14*G2))+M26+N26</f>
        <v>720.51689799999986</v>
      </c>
      <c r="G32" s="1"/>
      <c r="H32" s="1">
        <f>F32-E32</f>
        <v>-8.783102000000099</v>
      </c>
      <c r="J32" s="137">
        <f>H31+H32</f>
        <v>-1.1368683772161603E-13</v>
      </c>
      <c r="L32" s="1"/>
      <c r="R32" s="3" t="s">
        <v>246</v>
      </c>
      <c r="S32" s="2"/>
    </row>
    <row r="33" spans="3:20" x14ac:dyDescent="0.25">
      <c r="D33" t="s">
        <v>65</v>
      </c>
      <c r="E33" s="19">
        <f>ROUND(Rekvizīti!C8,2)</f>
        <v>113.72</v>
      </c>
      <c r="F33" s="8">
        <f>K26</f>
        <v>113.76</v>
      </c>
      <c r="G33" s="1"/>
      <c r="H33" s="1">
        <f t="shared" si="7"/>
        <v>4.0000000000006253E-2</v>
      </c>
      <c r="J33" s="1"/>
      <c r="R33" s="3">
        <f>E5+E6+E7+E14+E15+O5+O6+O7+O14+O15+Q28</f>
        <v>160.68451999999999</v>
      </c>
      <c r="S33" s="3">
        <f>SUM(E5:E16)+Q8+Q9+Q10+Q11+Q12+Q13+Q16+SUM(O5:O16)</f>
        <v>160.68451999999988</v>
      </c>
    </row>
    <row r="34" spans="3:20" x14ac:dyDescent="0.25">
      <c r="D34" t="s">
        <v>83</v>
      </c>
      <c r="E34" s="1">
        <f>Elektrība!J4</f>
        <v>67.430000000000007</v>
      </c>
      <c r="F34" s="8">
        <f>L26</f>
        <v>67.439999999999984</v>
      </c>
      <c r="G34" s="1"/>
      <c r="H34" s="1">
        <f t="shared" si="7"/>
        <v>9.9999999999766942E-3</v>
      </c>
      <c r="J34" s="1"/>
      <c r="L34" s="1"/>
      <c r="O34" s="1">
        <f>SUM(H31:H34)</f>
        <v>4.999999999986926E-2</v>
      </c>
      <c r="P34" s="1"/>
      <c r="R34" s="28"/>
    </row>
    <row r="35" spans="3:20" x14ac:dyDescent="0.25">
      <c r="D35" t="s">
        <v>217</v>
      </c>
      <c r="E35" s="115">
        <v>360</v>
      </c>
      <c r="F35" s="114">
        <f>-(Q26)</f>
        <v>359.99403999999998</v>
      </c>
      <c r="H35" s="1">
        <f>F35-E35</f>
        <v>-5.9600000000159525E-3</v>
      </c>
      <c r="J35" s="1"/>
    </row>
    <row r="36" spans="3:20" hidden="1" x14ac:dyDescent="0.25">
      <c r="D36" t="s">
        <v>258</v>
      </c>
      <c r="E36" s="111"/>
      <c r="F36" s="8"/>
      <c r="G36" s="1"/>
      <c r="H36" s="1"/>
      <c r="J36" s="1"/>
    </row>
    <row r="37" spans="3:20" ht="15.75" customHeight="1" x14ac:dyDescent="0.25">
      <c r="D37" t="s">
        <v>17</v>
      </c>
      <c r="E37" s="1">
        <v>0</v>
      </c>
      <c r="F37" s="8">
        <f>O26</f>
        <v>30.029999999999994</v>
      </c>
      <c r="G37" s="1"/>
      <c r="H37" s="1">
        <f t="shared" si="7"/>
        <v>30.029999999999994</v>
      </c>
      <c r="J37" s="1"/>
      <c r="R37" s="28"/>
    </row>
    <row r="38" spans="3:20" x14ac:dyDescent="0.25">
      <c r="C38" s="1"/>
      <c r="D38" t="s">
        <v>55</v>
      </c>
      <c r="E38" s="1">
        <v>22.39</v>
      </c>
      <c r="F38" s="8">
        <f>R16</f>
        <v>0</v>
      </c>
      <c r="G38" s="1"/>
      <c r="H38" s="1">
        <f t="shared" si="7"/>
        <v>-22.39</v>
      </c>
      <c r="J38" s="1"/>
      <c r="R38" s="28"/>
    </row>
    <row r="39" spans="3:20" x14ac:dyDescent="0.25">
      <c r="C39" s="1"/>
      <c r="D39" t="s">
        <v>282</v>
      </c>
      <c r="E39" s="1">
        <v>0</v>
      </c>
      <c r="F39" s="8">
        <v>0</v>
      </c>
      <c r="G39" s="1"/>
      <c r="H39" s="1">
        <f t="shared" si="7"/>
        <v>0</v>
      </c>
      <c r="J39" s="1"/>
      <c r="R39" s="28"/>
    </row>
    <row r="40" spans="3:20" x14ac:dyDescent="0.25">
      <c r="C40" s="1"/>
      <c r="D40" t="s">
        <v>213</v>
      </c>
      <c r="E40" s="1"/>
      <c r="F40" s="8">
        <f>E28</f>
        <v>160.68451999999999</v>
      </c>
      <c r="G40" s="1"/>
      <c r="H40" s="1">
        <f t="shared" si="7"/>
        <v>160.68451999999999</v>
      </c>
      <c r="J40" s="1"/>
      <c r="R40" s="28"/>
    </row>
    <row r="41" spans="3:20" ht="15.75" customHeight="1" x14ac:dyDescent="0.25">
      <c r="E41" s="17">
        <f>SUM(E31:E40)</f>
        <v>1484.3700000000001</v>
      </c>
      <c r="F41" s="8">
        <f>SUM(F31:F38)</f>
        <v>1492.05404</v>
      </c>
      <c r="G41" s="1"/>
      <c r="H41" s="15">
        <f>SUM(H31:H40)</f>
        <v>168.36855999999983</v>
      </c>
      <c r="J41" s="15"/>
      <c r="K41" s="16"/>
      <c r="O41" s="1"/>
      <c r="P41" s="1"/>
      <c r="R41" s="28"/>
    </row>
    <row r="42" spans="3:20" ht="12.75" customHeight="1" x14ac:dyDescent="0.25">
      <c r="H42" s="6"/>
      <c r="O42" s="1"/>
      <c r="P42" s="1"/>
      <c r="R42" s="28"/>
    </row>
    <row r="43" spans="3:20" ht="12.75" customHeight="1" x14ac:dyDescent="0.25">
      <c r="H43" s="6"/>
      <c r="R43" s="2"/>
    </row>
    <row r="44" spans="3:20" ht="15.6" x14ac:dyDescent="0.3">
      <c r="D44" s="90" t="s">
        <v>216</v>
      </c>
      <c r="E44" s="22">
        <f>E31+E32+E33+E37+E38+E34+E39</f>
        <v>1124.3700000000001</v>
      </c>
      <c r="F44" s="22"/>
      <c r="G44" s="1"/>
      <c r="H44" s="6"/>
      <c r="J44" s="18"/>
      <c r="R44" s="93"/>
    </row>
    <row r="45" spans="3:20" ht="12.75" customHeight="1" x14ac:dyDescent="0.25"/>
    <row r="46" spans="3:20" x14ac:dyDescent="0.25">
      <c r="D46" t="s">
        <v>249</v>
      </c>
      <c r="E46" s="1">
        <f>S27-E44</f>
        <v>138.34451999999942</v>
      </c>
      <c r="F46" s="1"/>
      <c r="G46" t="s">
        <v>252</v>
      </c>
    </row>
    <row r="47" spans="3:20" ht="15.75" customHeight="1" x14ac:dyDescent="0.25">
      <c r="D47" t="s">
        <v>250</v>
      </c>
      <c r="E47" s="1">
        <v>0</v>
      </c>
      <c r="G47" s="1"/>
    </row>
    <row r="48" spans="3:20" ht="15.75" customHeight="1" x14ac:dyDescent="0.25">
      <c r="C48" s="36"/>
      <c r="D48" s="36" t="s">
        <v>251</v>
      </c>
      <c r="E48" s="36">
        <v>0</v>
      </c>
      <c r="F48" s="36">
        <f>E47+E48</f>
        <v>0</v>
      </c>
      <c r="G48" s="19"/>
      <c r="H48" s="19"/>
      <c r="I48" s="19"/>
      <c r="J48" s="19"/>
      <c r="K48" s="19"/>
      <c r="O48" s="19"/>
      <c r="P48" s="19"/>
      <c r="Q48" s="19"/>
      <c r="R48" s="19"/>
      <c r="S48" s="94"/>
      <c r="T48" s="38"/>
    </row>
    <row r="49" spans="3:20" ht="15.75" customHeight="1" x14ac:dyDescent="0.3">
      <c r="C49" s="4"/>
      <c r="D49" s="36" t="s">
        <v>253</v>
      </c>
      <c r="E49" s="19">
        <f>E46-E47-E48</f>
        <v>138.34451999999942</v>
      </c>
      <c r="F49" s="36"/>
      <c r="G49" s="19"/>
      <c r="H49" s="19"/>
      <c r="I49" s="19"/>
      <c r="J49" s="19"/>
      <c r="K49" s="19"/>
      <c r="O49" s="19"/>
      <c r="P49" s="19"/>
      <c r="Q49" s="19"/>
      <c r="R49" s="19"/>
      <c r="S49" s="94"/>
      <c r="T49" s="38"/>
    </row>
    <row r="50" spans="3:20" ht="15.75" customHeight="1" x14ac:dyDescent="0.3">
      <c r="C50" s="4"/>
      <c r="D50" s="4"/>
      <c r="E50" s="95"/>
      <c r="F50" s="95"/>
      <c r="G50" s="95"/>
      <c r="H50" s="95"/>
      <c r="I50" s="96"/>
      <c r="J50" s="95"/>
      <c r="K50" s="96"/>
      <c r="L50" s="95"/>
      <c r="M50" s="95"/>
      <c r="N50" s="95"/>
      <c r="O50" s="95"/>
      <c r="P50" s="95"/>
      <c r="Q50" s="95"/>
      <c r="R50" s="95"/>
      <c r="S50" s="96"/>
      <c r="T50" s="96"/>
    </row>
    <row r="51" spans="3:20" ht="12.75" customHeight="1" x14ac:dyDescent="0.25"/>
    <row r="52" spans="3:20" ht="12.75" customHeight="1" x14ac:dyDescent="0.25"/>
    <row r="53" spans="3:20" ht="15.75" customHeight="1" x14ac:dyDescent="0.25"/>
    <row r="54" spans="3:20" ht="16.5" customHeight="1" x14ac:dyDescent="0.25"/>
    <row r="55" spans="3:20" x14ac:dyDescent="0.25">
      <c r="D55" t="s">
        <v>254</v>
      </c>
      <c r="E55">
        <v>180</v>
      </c>
    </row>
    <row r="56" spans="3:20" x14ac:dyDescent="0.25">
      <c r="D56" t="s">
        <v>255</v>
      </c>
      <c r="E56">
        <v>150</v>
      </c>
    </row>
    <row r="57" spans="3:20" x14ac:dyDescent="0.25">
      <c r="D57" t="s">
        <v>256</v>
      </c>
      <c r="E57">
        <v>30</v>
      </c>
    </row>
    <row r="58" spans="3:20" x14ac:dyDescent="0.25">
      <c r="D58" t="s">
        <v>257</v>
      </c>
      <c r="E58">
        <v>0</v>
      </c>
    </row>
    <row r="59" spans="3:20" x14ac:dyDescent="0.25">
      <c r="E59">
        <f>SUM(E55:E58)</f>
        <v>360</v>
      </c>
    </row>
    <row r="61" spans="3:20" x14ac:dyDescent="0.25">
      <c r="E61" s="1">
        <f>E26-E59</f>
        <v>130.64855999999997</v>
      </c>
    </row>
  </sheetData>
  <phoneticPr fontId="11" type="noConversion"/>
  <pageMargins left="0.7" right="0.7" top="0.75" bottom="0.75" header="0.3" footer="0.3"/>
  <pageSetup paperSize="9" orientation="portrait" r:id="rId1"/>
  <headerFooter>
    <oddFooter>&amp;R&amp;1#&amp;"Calibri"&amp;10&amp;K000000Ierobežotas pieejamības ārēja informācija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492C3-40CC-4E9E-98A4-A619113D7EB5}">
  <sheetPr codeName="Sheet3"/>
  <dimension ref="A1:T27"/>
  <sheetViews>
    <sheetView workbookViewId="0"/>
  </sheetViews>
  <sheetFormatPr defaultRowHeight="13.2" x14ac:dyDescent="0.25"/>
  <cols>
    <col min="1" max="1" width="9.5546875" bestFit="1" customWidth="1"/>
    <col min="2" max="2" width="50.33203125" customWidth="1"/>
    <col min="3" max="3" width="20.33203125" customWidth="1"/>
    <col min="4" max="4" width="10.6640625" customWidth="1"/>
    <col min="5" max="5" width="0.33203125" customWidth="1"/>
    <col min="6" max="6" width="18.109375" hidden="1" customWidth="1"/>
    <col min="7" max="7" width="16.109375" hidden="1" customWidth="1"/>
    <col min="8" max="8" width="12.33203125" bestFit="1" customWidth="1"/>
    <col min="10" max="11" width="9.109375" customWidth="1"/>
  </cols>
  <sheetData>
    <row r="1" spans="1:20" x14ac:dyDescent="0.25">
      <c r="B1" t="s">
        <v>293</v>
      </c>
      <c r="D1" t="str">
        <f>Rēķini!S4</f>
        <v>KOPĀ EUR</v>
      </c>
      <c r="E1" t="e">
        <f>Rēķini!#REF!</f>
        <v>#REF!</v>
      </c>
      <c r="F1" t="str">
        <f>Rēķini!T4</f>
        <v>tikai komunālie EUR</v>
      </c>
      <c r="G1" t="e">
        <f>Rēķini!#REF!</f>
        <v>#REF!</v>
      </c>
      <c r="H1" t="s">
        <v>63</v>
      </c>
      <c r="I1" t="s">
        <v>62</v>
      </c>
      <c r="J1" t="s">
        <v>64</v>
      </c>
    </row>
    <row r="2" spans="1:20" x14ac:dyDescent="0.25">
      <c r="A2" t="s">
        <v>248</v>
      </c>
      <c r="B2">
        <v>0</v>
      </c>
      <c r="C2" t="str">
        <f>Rēķini!D5</f>
        <v>Veikals Nr.1</v>
      </c>
      <c r="D2" s="1">
        <f>Rēķini!S5</f>
        <v>56.637999999999998</v>
      </c>
    </row>
    <row r="3" spans="1:20" x14ac:dyDescent="0.25">
      <c r="A3" t="s">
        <v>247</v>
      </c>
      <c r="B3">
        <v>1</v>
      </c>
      <c r="C3" t="str">
        <f>Rēķini!D6</f>
        <v>Veikals Nr.2</v>
      </c>
      <c r="D3" s="1">
        <f>Rēķini!S6</f>
        <v>145.61000000000001</v>
      </c>
      <c r="E3" s="1" t="e">
        <f>Rēķini!#REF!</f>
        <v>#REF!</v>
      </c>
      <c r="F3" s="1">
        <f>Rēķini!T6</f>
        <v>105.52</v>
      </c>
      <c r="G3" s="1" t="e">
        <f>Rēķini!#REF!</f>
        <v>#REF!</v>
      </c>
      <c r="H3" s="1"/>
      <c r="I3" s="1"/>
      <c r="J3" s="1"/>
      <c r="M3" s="1"/>
    </row>
    <row r="4" spans="1:20" x14ac:dyDescent="0.25">
      <c r="A4" t="s">
        <v>0</v>
      </c>
      <c r="B4">
        <v>1</v>
      </c>
      <c r="C4" t="str">
        <f>Rēķini!D7</f>
        <v>3.dz.Ligita</v>
      </c>
      <c r="D4" s="1">
        <f>Rēķini!S7</f>
        <v>218.76000000000002</v>
      </c>
      <c r="E4" s="1" t="e">
        <f>Rēķini!#REF!</f>
        <v>#REF!</v>
      </c>
      <c r="F4" s="1">
        <f>Rēķini!T7</f>
        <v>112.44</v>
      </c>
      <c r="G4" s="1" t="e">
        <f>Rēķini!#REF!</f>
        <v>#REF!</v>
      </c>
      <c r="H4" s="1"/>
      <c r="I4" s="1"/>
      <c r="J4" s="1"/>
      <c r="M4" s="1"/>
    </row>
    <row r="5" spans="1:20" x14ac:dyDescent="0.25">
      <c r="A5" t="s">
        <v>1</v>
      </c>
      <c r="B5">
        <v>2</v>
      </c>
      <c r="C5" t="str">
        <f>Rēķini!D8</f>
        <v>4.dz. Hedija, Henrijs</v>
      </c>
      <c r="D5" s="1">
        <f>Rēķini!S8</f>
        <v>115.12000000000002</v>
      </c>
      <c r="E5" s="1" t="e">
        <f>Rēķini!#REF!</f>
        <v>#REF!</v>
      </c>
      <c r="F5" s="1">
        <f>SUM(Rēķini!G8:O8)</f>
        <v>149.17000000000002</v>
      </c>
      <c r="G5" s="1" t="e">
        <f>Rēķini!#REF!</f>
        <v>#REF!</v>
      </c>
      <c r="H5" s="1"/>
      <c r="I5" s="1"/>
      <c r="J5" s="1"/>
      <c r="K5" s="1"/>
      <c r="M5" s="1"/>
    </row>
    <row r="6" spans="1:20" x14ac:dyDescent="0.25">
      <c r="A6" t="s">
        <v>5</v>
      </c>
      <c r="B6">
        <v>0</v>
      </c>
      <c r="C6" t="str">
        <f>Rēķini!D9</f>
        <v>6.dz.Ilze</v>
      </c>
      <c r="D6" s="1">
        <f>Rēķini!S9</f>
        <v>20.66</v>
      </c>
      <c r="E6" s="1" t="e">
        <f>Rēķini!#REF!</f>
        <v>#REF!</v>
      </c>
      <c r="F6" s="1">
        <f>Rēķini!T9</f>
        <v>20.66</v>
      </c>
      <c r="G6" s="1" t="e">
        <f>Rēķini!#REF!</f>
        <v>#REF!</v>
      </c>
      <c r="H6" s="1"/>
      <c r="I6" s="1"/>
      <c r="J6" s="1"/>
      <c r="M6" s="1"/>
      <c r="T6" s="1"/>
    </row>
    <row r="7" spans="1:20" x14ac:dyDescent="0.25">
      <c r="A7" t="s">
        <v>1</v>
      </c>
      <c r="B7">
        <v>3</v>
      </c>
      <c r="C7" t="str">
        <f>Rēķini!D10</f>
        <v>7dz. Hedija</v>
      </c>
      <c r="D7" s="1">
        <f>Rēķini!S10</f>
        <v>118.62999999999998</v>
      </c>
      <c r="E7" s="1" t="e">
        <f>Rēķini!#REF!</f>
        <v>#REF!</v>
      </c>
      <c r="F7" s="1">
        <f>SUM(Rēķini!G10:L10)+SUM(Rēķini!M10:O10)</f>
        <v>142.99</v>
      </c>
      <c r="G7" s="1" t="e">
        <f>Rēķini!#REF!</f>
        <v>#REF!</v>
      </c>
      <c r="H7" s="1"/>
      <c r="I7" s="1"/>
      <c r="J7" s="1"/>
      <c r="M7" s="1"/>
      <c r="T7" s="1"/>
    </row>
    <row r="8" spans="1:20" x14ac:dyDescent="0.25">
      <c r="A8" t="s">
        <v>5</v>
      </c>
      <c r="B8">
        <v>2</v>
      </c>
      <c r="C8" t="str">
        <f>Rēķini!D11</f>
        <v>8dz.. Zane</v>
      </c>
      <c r="D8" s="1">
        <f>Rēķini!S11</f>
        <v>95.449999999999989</v>
      </c>
      <c r="E8" s="1" t="e">
        <f>Rēķini!#REF!</f>
        <v>#REF!</v>
      </c>
      <c r="F8" s="1">
        <f>Rēķini!T11</f>
        <v>95.449999999999989</v>
      </c>
      <c r="G8" s="1" t="e">
        <f>Rēķini!#REF!</f>
        <v>#REF!</v>
      </c>
      <c r="H8" s="1"/>
      <c r="I8" s="1"/>
      <c r="J8" s="1"/>
      <c r="M8" s="1"/>
    </row>
    <row r="9" spans="1:20" x14ac:dyDescent="0.25">
      <c r="A9" t="s">
        <v>5</v>
      </c>
      <c r="B9">
        <v>1</v>
      </c>
      <c r="C9" t="str">
        <f>Rēķini!D12</f>
        <v>9.dz.  Zane</v>
      </c>
      <c r="D9" s="1">
        <f>Rēķini!S12</f>
        <v>43.34</v>
      </c>
      <c r="E9" s="1" t="e">
        <f>Rēķini!#REF!</f>
        <v>#REF!</v>
      </c>
      <c r="F9" s="1">
        <f>Rēķini!T12</f>
        <v>43.34</v>
      </c>
      <c r="G9" s="1" t="e">
        <f>Rēķini!#REF!</f>
        <v>#REF!</v>
      </c>
      <c r="H9" s="1"/>
      <c r="I9" s="1"/>
      <c r="J9" s="1"/>
      <c r="K9" s="15"/>
      <c r="M9" s="1"/>
    </row>
    <row r="10" spans="1:20" x14ac:dyDescent="0.25">
      <c r="A10" t="s">
        <v>5</v>
      </c>
      <c r="B10">
        <v>1</v>
      </c>
      <c r="C10" t="str">
        <f>Rēķini!D13</f>
        <v>10.dz. Ilze</v>
      </c>
      <c r="D10" s="1">
        <f>Rēķini!S13</f>
        <v>73.98</v>
      </c>
      <c r="E10" s="1" t="e">
        <f>Rēķini!#REF!</f>
        <v>#REF!</v>
      </c>
      <c r="F10" s="1">
        <f>Rēķini!T13</f>
        <v>73.98</v>
      </c>
      <c r="G10" s="1" t="e">
        <f>Rēķini!#REF!</f>
        <v>#REF!</v>
      </c>
      <c r="H10" s="1"/>
      <c r="I10" s="1"/>
      <c r="J10" s="1"/>
      <c r="M10" s="1"/>
    </row>
    <row r="11" spans="1:20" x14ac:dyDescent="0.25">
      <c r="A11" t="s">
        <v>88</v>
      </c>
      <c r="B11">
        <v>3</v>
      </c>
      <c r="C11" t="str">
        <f>Rēķini!D14</f>
        <v>11.dz.  Kārlis</v>
      </c>
      <c r="D11" s="1">
        <f>Rēķini!S14</f>
        <v>212.23336</v>
      </c>
      <c r="E11" s="1" t="e">
        <f>Rēķini!#REF!</f>
        <v>#REF!</v>
      </c>
      <c r="F11" s="1">
        <f>Rēķini!T14</f>
        <v>170.93</v>
      </c>
      <c r="G11" s="1" t="e">
        <f>Rēķini!#REF!</f>
        <v>#REF!</v>
      </c>
      <c r="H11" s="1"/>
      <c r="I11" s="1"/>
      <c r="J11" s="1"/>
      <c r="M11" s="1"/>
    </row>
    <row r="12" spans="1:20" x14ac:dyDescent="0.25">
      <c r="A12" t="s">
        <v>88</v>
      </c>
      <c r="B12">
        <v>2</v>
      </c>
      <c r="C12" t="str">
        <f>Rēķini!D15</f>
        <v>12.dz. Kārlis</v>
      </c>
      <c r="D12" s="1">
        <f>Rēķini!S15</f>
        <v>174.89999999999998</v>
      </c>
      <c r="E12" s="1" t="e">
        <f>Rēķini!#REF!</f>
        <v>#REF!</v>
      </c>
      <c r="F12" s="1">
        <f>Rēķini!T15</f>
        <v>111.33000000000001</v>
      </c>
      <c r="G12" s="1" t="e">
        <f>Rēķini!#REF!</f>
        <v>#REF!</v>
      </c>
      <c r="H12" s="1"/>
      <c r="I12" s="1"/>
      <c r="J12" s="1"/>
      <c r="M12" s="1"/>
    </row>
    <row r="13" spans="1:20" x14ac:dyDescent="0.25">
      <c r="A13" t="s">
        <v>115</v>
      </c>
      <c r="B13">
        <v>0</v>
      </c>
      <c r="C13" t="str">
        <f>Rēķini!A16</f>
        <v>Pagrabs</v>
      </c>
      <c r="D13" s="1">
        <f>Rēķini!S16</f>
        <v>40.06</v>
      </c>
      <c r="E13" s="1" t="e">
        <f>Rēķini!#REF!</f>
        <v>#REF!</v>
      </c>
      <c r="F13" s="1">
        <f>Rēķini!S16</f>
        <v>40.06</v>
      </c>
      <c r="G13" s="1"/>
      <c r="H13" s="1"/>
      <c r="I13" s="1"/>
      <c r="J13" s="1"/>
      <c r="M13" s="1"/>
      <c r="P13" s="1"/>
    </row>
    <row r="14" spans="1:20" x14ac:dyDescent="0.25">
      <c r="B14">
        <f>SUM(B2:B13)</f>
        <v>16</v>
      </c>
      <c r="C14" s="16" t="s">
        <v>90</v>
      </c>
      <c r="D14" s="15">
        <f>SUM(D2:D13)</f>
        <v>1315.3813599999999</v>
      </c>
      <c r="F14" s="15">
        <f>SUM(F3:F13)</f>
        <v>1065.8699999999999</v>
      </c>
    </row>
    <row r="15" spans="1:20" x14ac:dyDescent="0.25">
      <c r="D15" s="16"/>
      <c r="F15" s="1"/>
      <c r="G15" s="1"/>
      <c r="H15" s="1"/>
      <c r="I15" s="1"/>
      <c r="J15" s="1"/>
      <c r="K15" s="1"/>
    </row>
    <row r="16" spans="1:20" x14ac:dyDescent="0.25">
      <c r="D16" s="16"/>
      <c r="F16" s="1"/>
      <c r="G16" s="1">
        <f>F16*0.7028</f>
        <v>0</v>
      </c>
      <c r="H16" s="1"/>
      <c r="I16" s="1"/>
      <c r="J16" s="1"/>
      <c r="K16" s="1"/>
    </row>
    <row r="17" spans="4:11" x14ac:dyDescent="0.25">
      <c r="F17" s="1"/>
      <c r="G17" s="1"/>
      <c r="H17" s="92"/>
      <c r="I17" s="1"/>
      <c r="J17" s="1"/>
      <c r="K17" s="1"/>
    </row>
    <row r="18" spans="4:11" x14ac:dyDescent="0.25">
      <c r="F18" s="1"/>
      <c r="G18" s="1"/>
      <c r="H18" s="92"/>
      <c r="I18" s="1"/>
      <c r="J18" s="1"/>
      <c r="K18" s="1"/>
    </row>
    <row r="19" spans="4:11" x14ac:dyDescent="0.25">
      <c r="F19" s="1"/>
      <c r="G19" s="1"/>
      <c r="H19" s="92"/>
      <c r="I19" s="1"/>
      <c r="J19" s="1"/>
      <c r="K19" s="1"/>
    </row>
    <row r="20" spans="4:11" x14ac:dyDescent="0.25">
      <c r="F20" s="1"/>
      <c r="G20" s="1"/>
      <c r="H20" s="92"/>
      <c r="I20" s="1"/>
      <c r="J20" s="1"/>
      <c r="K20" s="15"/>
    </row>
    <row r="21" spans="4:11" x14ac:dyDescent="0.25">
      <c r="D21" s="1"/>
    </row>
    <row r="26" spans="4:11" x14ac:dyDescent="0.25">
      <c r="F26" s="1"/>
      <c r="I26" s="1"/>
      <c r="J26" s="1"/>
    </row>
    <row r="27" spans="4:11" x14ac:dyDescent="0.25">
      <c r="I27" s="1"/>
    </row>
  </sheetData>
  <pageMargins left="0.7" right="0.7" top="0.75" bottom="0.75" header="0.3" footer="0.3"/>
  <pageSetup paperSize="9" orientation="portrait" horizontalDpi="4294967293" r:id="rId1"/>
  <headerFooter>
    <oddFooter>&amp;R&amp;1#&amp;"Calibri"&amp;10&amp;K000000Ierobežotas pieejamības ārēja informācija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D1683-4C1D-4192-A93F-94597D00C6EF}">
  <sheetPr codeName="Sheet5"/>
  <dimension ref="A1:AD49"/>
  <sheetViews>
    <sheetView zoomScale="85" zoomScaleNormal="85" workbookViewId="0">
      <pane xSplit="2" topLeftCell="F1" activePane="topRight" state="frozen"/>
      <selection pane="topRight" activeCell="M14" sqref="M14"/>
    </sheetView>
  </sheetViews>
  <sheetFormatPr defaultRowHeight="13.2" x14ac:dyDescent="0.25"/>
  <cols>
    <col min="1" max="1" width="6.5546875" customWidth="1"/>
    <col min="2" max="2" width="28.109375" customWidth="1"/>
    <col min="16" max="16" width="11" customWidth="1"/>
    <col min="17" max="20" width="11.5546875" customWidth="1"/>
    <col min="21" max="21" width="17.6640625" customWidth="1"/>
    <col min="29" max="29" width="14" customWidth="1"/>
  </cols>
  <sheetData>
    <row r="1" spans="1:30" ht="21.6" thickBot="1" x14ac:dyDescent="0.45">
      <c r="E1" t="s">
        <v>26</v>
      </c>
      <c r="F1" t="s">
        <v>27</v>
      </c>
      <c r="G1" t="s">
        <v>28</v>
      </c>
      <c r="J1" s="23" t="s">
        <v>51</v>
      </c>
      <c r="K1" s="23" t="s">
        <v>50</v>
      </c>
      <c r="L1" s="23" t="s">
        <v>52</v>
      </c>
      <c r="M1" s="23" t="s">
        <v>53</v>
      </c>
      <c r="N1" s="23" t="s">
        <v>51</v>
      </c>
      <c r="O1" s="23" t="s">
        <v>50</v>
      </c>
      <c r="P1" s="23" t="s">
        <v>52</v>
      </c>
      <c r="Q1" s="23" t="s">
        <v>53</v>
      </c>
      <c r="R1" s="23" t="s">
        <v>66</v>
      </c>
      <c r="S1" s="23" t="s">
        <v>67</v>
      </c>
      <c r="T1" s="23" t="s">
        <v>68</v>
      </c>
      <c r="U1" s="23" t="s">
        <v>69</v>
      </c>
      <c r="V1" s="24" t="s">
        <v>49</v>
      </c>
      <c r="W1" s="24" t="s">
        <v>54</v>
      </c>
      <c r="X1" s="25" t="s">
        <v>70</v>
      </c>
      <c r="Y1" s="25" t="s">
        <v>71</v>
      </c>
      <c r="Z1" s="25" t="s">
        <v>72</v>
      </c>
      <c r="AA1" s="25" t="s">
        <v>73</v>
      </c>
      <c r="AB1" s="116">
        <f>Rēķini!G2</f>
        <v>3.2307000000000001</v>
      </c>
      <c r="AC1" s="26">
        <f>Rēķini!H2</f>
        <v>6.9107000000000003</v>
      </c>
    </row>
    <row r="2" spans="1:30" ht="15.6" x14ac:dyDescent="0.3">
      <c r="A2">
        <v>1</v>
      </c>
      <c r="B2" t="s">
        <v>203</v>
      </c>
      <c r="C2">
        <v>13.9</v>
      </c>
      <c r="E2" s="1"/>
      <c r="F2" s="12">
        <f>V2</f>
        <v>2.4</v>
      </c>
      <c r="G2" s="12">
        <f>W2</f>
        <v>0.18999999999999995</v>
      </c>
      <c r="I2" t="s">
        <v>82</v>
      </c>
      <c r="J2">
        <v>1.58</v>
      </c>
      <c r="K2">
        <v>3.98</v>
      </c>
      <c r="L2">
        <v>0.28000000000000003</v>
      </c>
      <c r="M2">
        <v>0.47</v>
      </c>
      <c r="R2">
        <f>K2-J2</f>
        <v>2.4</v>
      </c>
      <c r="S2">
        <f>M2-L2</f>
        <v>0.18999999999999995</v>
      </c>
      <c r="V2" s="20">
        <f>K2-J2</f>
        <v>2.4</v>
      </c>
      <c r="W2" s="21">
        <f>M2-L2</f>
        <v>0.18999999999999995</v>
      </c>
      <c r="X2" s="15">
        <f>ROUND(R2*$AB$1,2)</f>
        <v>7.75</v>
      </c>
      <c r="Y2" s="15">
        <f>ROUND(S2*$AC$1,2)</f>
        <v>1.31</v>
      </c>
      <c r="Z2" s="16"/>
      <c r="AA2" s="16"/>
      <c r="AB2" s="22">
        <f>V2*$AB$1</f>
        <v>7.7536800000000001</v>
      </c>
      <c r="AC2" s="22">
        <f>W2*$AC$1</f>
        <v>1.3130329999999997</v>
      </c>
      <c r="AD2" t="s">
        <v>74</v>
      </c>
    </row>
    <row r="3" spans="1:30" ht="15.6" x14ac:dyDescent="0.3">
      <c r="A3">
        <v>1</v>
      </c>
      <c r="B3" t="s">
        <v>202</v>
      </c>
      <c r="C3">
        <v>41.9</v>
      </c>
      <c r="E3" s="1"/>
      <c r="F3" s="141">
        <f>V3</f>
        <v>1.2199999999999998</v>
      </c>
      <c r="G3" s="12">
        <f>W3</f>
        <v>0.19999999999999996</v>
      </c>
      <c r="J3">
        <v>5.8</v>
      </c>
      <c r="K3">
        <v>7.02</v>
      </c>
      <c r="L3">
        <v>0.99</v>
      </c>
      <c r="M3">
        <v>1.19</v>
      </c>
      <c r="R3">
        <f>K3-J3</f>
        <v>1.2199999999999998</v>
      </c>
      <c r="S3">
        <f>M3-L3</f>
        <v>0.19999999999999996</v>
      </c>
      <c r="V3" s="20">
        <f>K3-J3</f>
        <v>1.2199999999999998</v>
      </c>
      <c r="W3" s="21">
        <f>M3-L3</f>
        <v>0.19999999999999996</v>
      </c>
      <c r="X3" s="15">
        <f>R3*$AB$1</f>
        <v>3.9414539999999993</v>
      </c>
      <c r="Y3" s="15">
        <f>S3*$AC$1</f>
        <v>1.3821399999999997</v>
      </c>
      <c r="Z3" s="16"/>
      <c r="AA3" s="16"/>
      <c r="AB3" s="22">
        <f>V3*$AB$1</f>
        <v>3.9414539999999993</v>
      </c>
      <c r="AC3" s="22">
        <f>W3*$AC$1</f>
        <v>1.3821399999999997</v>
      </c>
      <c r="AD3" t="s">
        <v>34</v>
      </c>
    </row>
    <row r="4" spans="1:30" ht="15.6" x14ac:dyDescent="0.3">
      <c r="A4" s="1">
        <v>2.5</v>
      </c>
      <c r="B4" t="s">
        <v>23</v>
      </c>
      <c r="C4">
        <v>111.04</v>
      </c>
      <c r="E4" s="1"/>
      <c r="F4" s="141">
        <f>V4</f>
        <v>0.57000000000000006</v>
      </c>
      <c r="G4" s="12">
        <f t="shared" ref="G4:G13" si="0">W4</f>
        <v>0.13999999999999999</v>
      </c>
      <c r="J4">
        <v>0.77</v>
      </c>
      <c r="K4">
        <v>1.29</v>
      </c>
      <c r="L4">
        <v>0.25</v>
      </c>
      <c r="M4">
        <v>0.31</v>
      </c>
      <c r="N4">
        <v>0.01</v>
      </c>
      <c r="O4">
        <v>0.06</v>
      </c>
      <c r="P4">
        <v>7.0000000000000007E-2</v>
      </c>
      <c r="Q4">
        <v>0.15</v>
      </c>
      <c r="R4">
        <f>K4-J4</f>
        <v>0.52</v>
      </c>
      <c r="S4">
        <f t="shared" ref="S4:S13" si="1">M4-L4</f>
        <v>0.06</v>
      </c>
      <c r="T4">
        <f>O4-N4</f>
        <v>4.9999999999999996E-2</v>
      </c>
      <c r="U4">
        <f>Q4-P4</f>
        <v>7.9999999999999988E-2</v>
      </c>
      <c r="V4" s="140">
        <f>(K4-J4)+(O4-N4)</f>
        <v>0.57000000000000006</v>
      </c>
      <c r="W4" s="21">
        <f t="shared" ref="W4:W11" si="2">(M4-L4)+(Q4-P4)</f>
        <v>0.13999999999999999</v>
      </c>
      <c r="X4" s="15">
        <f>ROUND(R4*$AB$1,2)</f>
        <v>1.68</v>
      </c>
      <c r="Y4" s="15">
        <f>ROUND(S4*$AC$1,2)</f>
        <v>0.41</v>
      </c>
      <c r="Z4" s="15">
        <f>ROUND(T4*$AB$1,2)</f>
        <v>0.16</v>
      </c>
      <c r="AA4" s="15">
        <f>ROUND(U4*$AC$1,2)</f>
        <v>0.55000000000000004</v>
      </c>
      <c r="AB4" s="22">
        <f>X4+Z4</f>
        <v>1.8399999999999999</v>
      </c>
      <c r="AC4" s="22">
        <f>Y4+AA4</f>
        <v>0.96</v>
      </c>
      <c r="AD4" t="s">
        <v>75</v>
      </c>
    </row>
    <row r="5" spans="1:30" ht="15.6" x14ac:dyDescent="0.3">
      <c r="A5" s="1">
        <v>2.5</v>
      </c>
      <c r="B5" t="s">
        <v>24</v>
      </c>
      <c r="C5">
        <v>109.4</v>
      </c>
      <c r="E5" s="1"/>
      <c r="F5" s="12">
        <f t="shared" ref="F5:F13" si="3">V5</f>
        <v>3.7900000000000009</v>
      </c>
      <c r="G5" s="12">
        <f t="shared" si="0"/>
        <v>2.6499999999999995</v>
      </c>
      <c r="J5">
        <v>12.34</v>
      </c>
      <c r="K5">
        <v>15.8</v>
      </c>
      <c r="L5">
        <v>5.36</v>
      </c>
      <c r="M5">
        <v>7.01</v>
      </c>
      <c r="N5">
        <v>1.45</v>
      </c>
      <c r="O5">
        <v>1.78</v>
      </c>
      <c r="P5">
        <v>4.0599999999999996</v>
      </c>
      <c r="Q5">
        <v>5.0599999999999996</v>
      </c>
      <c r="R5">
        <f t="shared" ref="R5:R12" si="4">K5-J5</f>
        <v>3.4600000000000009</v>
      </c>
      <c r="S5">
        <f t="shared" si="1"/>
        <v>1.6499999999999995</v>
      </c>
      <c r="T5">
        <f t="shared" ref="T5:T13" si="5">O5-N5</f>
        <v>0.33000000000000007</v>
      </c>
      <c r="U5">
        <f>Q5-P5</f>
        <v>1</v>
      </c>
      <c r="V5" s="20">
        <f t="shared" ref="V5:V11" si="6">(K5-J5)+(O5-N5)</f>
        <v>3.7900000000000009</v>
      </c>
      <c r="W5" s="21">
        <f t="shared" si="2"/>
        <v>2.6499999999999995</v>
      </c>
      <c r="X5" s="15">
        <f>ROUND(R5*$AB$1,2)</f>
        <v>11.18</v>
      </c>
      <c r="Y5" s="15">
        <f>ROUND(S5*$AC$1,2)</f>
        <v>11.4</v>
      </c>
      <c r="Z5" s="15">
        <f>ROUND(T5*$AB$1,2)</f>
        <v>1.07</v>
      </c>
      <c r="AA5" s="15">
        <f>ROUND(U5*$AC$1,2)</f>
        <v>6.91</v>
      </c>
      <c r="AB5" s="22">
        <f>X5+Z5</f>
        <v>12.25</v>
      </c>
      <c r="AC5" s="22">
        <f>Y5+AA5</f>
        <v>18.310000000000002</v>
      </c>
      <c r="AD5" t="s">
        <v>37</v>
      </c>
    </row>
    <row r="6" spans="1:30" ht="15.6" x14ac:dyDescent="0.3">
      <c r="A6">
        <v>1</v>
      </c>
      <c r="B6" t="s">
        <v>25</v>
      </c>
      <c r="C6">
        <v>28.4</v>
      </c>
      <c r="E6" s="1"/>
      <c r="F6" s="12">
        <f t="shared" si="3"/>
        <v>4.9999999999999989E-2</v>
      </c>
      <c r="G6" s="12">
        <f t="shared" si="0"/>
        <v>4.0000000000000008E-2</v>
      </c>
      <c r="J6">
        <v>0.26</v>
      </c>
      <c r="K6">
        <v>0.31</v>
      </c>
      <c r="L6">
        <v>0.16</v>
      </c>
      <c r="M6">
        <v>0.2</v>
      </c>
      <c r="R6">
        <f>K6-J6</f>
        <v>4.9999999999999989E-2</v>
      </c>
      <c r="S6">
        <f t="shared" si="1"/>
        <v>4.0000000000000008E-2</v>
      </c>
      <c r="V6" s="20">
        <f t="shared" si="6"/>
        <v>4.9999999999999989E-2</v>
      </c>
      <c r="W6" s="21">
        <f t="shared" si="2"/>
        <v>4.0000000000000008E-2</v>
      </c>
      <c r="X6" s="15">
        <f>ROUND(R6*$AB$1,2)</f>
        <v>0.16</v>
      </c>
      <c r="Y6" s="15">
        <f>ROUND(S6*$AC$1,2)</f>
        <v>0.28000000000000003</v>
      </c>
      <c r="Z6" s="15"/>
      <c r="AA6" s="15"/>
      <c r="AB6" s="22">
        <f>ROUND(V6*$AB$1,2)</f>
        <v>0.16</v>
      </c>
      <c r="AC6" s="22">
        <f>ROUND(W6*$AC$1,2)</f>
        <v>0.28000000000000003</v>
      </c>
      <c r="AD6" t="s">
        <v>38</v>
      </c>
    </row>
    <row r="7" spans="1:30" ht="15.6" x14ac:dyDescent="0.3">
      <c r="A7">
        <v>2</v>
      </c>
      <c r="B7" t="s">
        <v>81</v>
      </c>
      <c r="C7">
        <v>84.7</v>
      </c>
      <c r="E7" s="1"/>
      <c r="F7" s="12">
        <f t="shared" si="3"/>
        <v>5.5699999999999985</v>
      </c>
      <c r="G7" s="12">
        <f t="shared" si="0"/>
        <v>3.41</v>
      </c>
      <c r="J7">
        <v>12.97</v>
      </c>
      <c r="K7">
        <v>15.83</v>
      </c>
      <c r="L7">
        <v>12.51</v>
      </c>
      <c r="M7">
        <v>15.11</v>
      </c>
      <c r="N7">
        <v>11.81</v>
      </c>
      <c r="O7">
        <v>14.52</v>
      </c>
      <c r="P7">
        <v>4.26</v>
      </c>
      <c r="Q7">
        <v>5.07</v>
      </c>
      <c r="R7">
        <f t="shared" si="4"/>
        <v>2.8599999999999994</v>
      </c>
      <c r="S7">
        <f t="shared" si="1"/>
        <v>2.5999999999999996</v>
      </c>
      <c r="T7">
        <f t="shared" si="5"/>
        <v>2.7099999999999991</v>
      </c>
      <c r="U7">
        <f t="shared" ref="U7:U12" si="7">Q7-P7</f>
        <v>0.8100000000000005</v>
      </c>
      <c r="V7" s="20">
        <f>(K7-J7)+(O7-N7)</f>
        <v>5.5699999999999985</v>
      </c>
      <c r="W7" s="21">
        <f>(M7-L7)+(Q7-P7)</f>
        <v>3.41</v>
      </c>
      <c r="X7" s="15">
        <f>ROUND(R7*$AB$1,2)</f>
        <v>9.24</v>
      </c>
      <c r="Y7" s="15">
        <f>ROUND(S7*$AC$1,2)</f>
        <v>17.97</v>
      </c>
      <c r="Z7" s="15">
        <f>ROUND(T7*$AB$1,2)</f>
        <v>8.76</v>
      </c>
      <c r="AA7" s="15">
        <f>ROUND(U7*$AC$1,2)</f>
        <v>5.6</v>
      </c>
      <c r="AB7" s="22">
        <f>X7+Z7</f>
        <v>18</v>
      </c>
      <c r="AC7" s="22">
        <f>Y7+AA7</f>
        <v>23.57</v>
      </c>
      <c r="AD7" t="s">
        <v>39</v>
      </c>
    </row>
    <row r="8" spans="1:30" ht="15.75" customHeight="1" x14ac:dyDescent="0.3">
      <c r="A8">
        <v>1</v>
      </c>
      <c r="B8" t="s">
        <v>118</v>
      </c>
      <c r="C8">
        <v>47.8</v>
      </c>
      <c r="E8" s="1"/>
      <c r="F8" s="141">
        <f t="shared" si="3"/>
        <v>6.68</v>
      </c>
      <c r="G8" s="12">
        <f t="shared" si="0"/>
        <v>3.8699999999999974</v>
      </c>
      <c r="J8">
        <v>32.340000000000003</v>
      </c>
      <c r="K8">
        <v>39.020000000000003</v>
      </c>
      <c r="L8">
        <v>18.350000000000001</v>
      </c>
      <c r="M8">
        <v>22.22</v>
      </c>
      <c r="R8">
        <f t="shared" si="4"/>
        <v>6.68</v>
      </c>
      <c r="S8">
        <f t="shared" si="1"/>
        <v>3.8699999999999974</v>
      </c>
      <c r="V8" s="140">
        <f t="shared" si="6"/>
        <v>6.68</v>
      </c>
      <c r="W8" s="21">
        <f t="shared" si="2"/>
        <v>3.8699999999999974</v>
      </c>
      <c r="X8" s="15">
        <f>R8*$AB$1</f>
        <v>21.581075999999999</v>
      </c>
      <c r="Y8" s="15">
        <f>S8*$AC$1</f>
        <v>26.744408999999983</v>
      </c>
      <c r="Z8" s="15"/>
      <c r="AA8" s="15"/>
      <c r="AB8" s="22">
        <f>ROUND(V8*$AB$1,2)</f>
        <v>21.58</v>
      </c>
      <c r="AC8" s="22">
        <f>ROUND(W8*$AC$1,2)</f>
        <v>26.74</v>
      </c>
      <c r="AD8" t="s">
        <v>40</v>
      </c>
    </row>
    <row r="9" spans="1:30" ht="15.6" x14ac:dyDescent="0.3">
      <c r="A9">
        <v>2</v>
      </c>
      <c r="B9" t="s">
        <v>297</v>
      </c>
      <c r="C9">
        <v>65.7</v>
      </c>
      <c r="E9" s="1"/>
      <c r="F9" s="12">
        <f t="shared" si="3"/>
        <v>0</v>
      </c>
      <c r="G9" s="12">
        <f t="shared" si="0"/>
        <v>0</v>
      </c>
      <c r="J9">
        <v>0.17</v>
      </c>
      <c r="K9">
        <v>0.17</v>
      </c>
      <c r="L9">
        <v>0.63</v>
      </c>
      <c r="M9">
        <v>0.63</v>
      </c>
      <c r="N9">
        <v>1.35</v>
      </c>
      <c r="O9">
        <v>1.35</v>
      </c>
      <c r="P9">
        <v>0.11</v>
      </c>
      <c r="Q9">
        <v>0.11</v>
      </c>
      <c r="R9">
        <f t="shared" si="4"/>
        <v>0</v>
      </c>
      <c r="S9">
        <f>M9-L9</f>
        <v>0</v>
      </c>
      <c r="T9">
        <f t="shared" si="5"/>
        <v>0</v>
      </c>
      <c r="U9">
        <f t="shared" si="7"/>
        <v>0</v>
      </c>
      <c r="V9" s="20">
        <f t="shared" si="6"/>
        <v>0</v>
      </c>
      <c r="W9" s="21">
        <f t="shared" si="2"/>
        <v>0</v>
      </c>
      <c r="X9" s="15">
        <f>ROUND(R9*$AB$1,2)</f>
        <v>0</v>
      </c>
      <c r="Y9" s="15">
        <f>ROUND(S9*$AC$1,2)</f>
        <v>0</v>
      </c>
      <c r="Z9" s="15">
        <f>ROUND(T9*$AB$1,2)</f>
        <v>0</v>
      </c>
      <c r="AA9" s="15">
        <f>ROUND(U9*$AC$1,2)</f>
        <v>0</v>
      </c>
      <c r="AB9" s="22">
        <f>X9+Z9</f>
        <v>0</v>
      </c>
      <c r="AC9" s="22">
        <f>Y9+AA9</f>
        <v>0</v>
      </c>
      <c r="AD9" t="s">
        <v>41</v>
      </c>
    </row>
    <row r="10" spans="1:30" ht="15.6" x14ac:dyDescent="0.3">
      <c r="A10">
        <v>1</v>
      </c>
      <c r="B10" t="s">
        <v>299</v>
      </c>
      <c r="C10">
        <v>47.1</v>
      </c>
      <c r="E10" s="1"/>
      <c r="F10" s="141">
        <f t="shared" si="3"/>
        <v>3.1500000000000004</v>
      </c>
      <c r="G10" s="12">
        <f t="shared" si="0"/>
        <v>3.5700000000000003</v>
      </c>
      <c r="J10">
        <v>9.86</v>
      </c>
      <c r="K10">
        <v>13.01</v>
      </c>
      <c r="L10">
        <v>12.03</v>
      </c>
      <c r="M10">
        <v>15.6</v>
      </c>
      <c r="R10">
        <f t="shared" si="4"/>
        <v>3.1500000000000004</v>
      </c>
      <c r="S10">
        <f t="shared" si="1"/>
        <v>3.5700000000000003</v>
      </c>
      <c r="V10" s="20">
        <f t="shared" si="6"/>
        <v>3.1500000000000004</v>
      </c>
      <c r="W10" s="21">
        <f t="shared" si="2"/>
        <v>3.5700000000000003</v>
      </c>
      <c r="X10" s="15">
        <f>R10*$AB$1</f>
        <v>10.176705000000002</v>
      </c>
      <c r="Y10" s="15">
        <f>S10*$AC$1</f>
        <v>24.671199000000001</v>
      </c>
      <c r="Z10" s="15"/>
      <c r="AA10" s="15"/>
      <c r="AB10" s="22">
        <f>V10*$AB$1</f>
        <v>10.176705000000002</v>
      </c>
      <c r="AC10" s="22">
        <f>W10*$AC$1</f>
        <v>24.671199000000001</v>
      </c>
      <c r="AD10" t="s">
        <v>42</v>
      </c>
    </row>
    <row r="11" spans="1:30" ht="15.6" x14ac:dyDescent="0.3">
      <c r="A11">
        <v>2</v>
      </c>
      <c r="B11" t="s">
        <v>287</v>
      </c>
      <c r="C11">
        <v>64.400000000000006</v>
      </c>
      <c r="E11" s="1"/>
      <c r="F11" s="12">
        <f t="shared" si="3"/>
        <v>8.0800000000000018</v>
      </c>
      <c r="G11" s="12">
        <f t="shared" si="0"/>
        <v>5.8199999999999994</v>
      </c>
      <c r="J11">
        <v>4.3600000000000003</v>
      </c>
      <c r="K11">
        <v>5.86</v>
      </c>
      <c r="L11">
        <v>4.87</v>
      </c>
      <c r="M11">
        <v>6.15</v>
      </c>
      <c r="N11">
        <v>27.12</v>
      </c>
      <c r="O11">
        <v>33.700000000000003</v>
      </c>
      <c r="P11">
        <v>18.54</v>
      </c>
      <c r="Q11">
        <v>23.08</v>
      </c>
      <c r="R11">
        <f t="shared" si="4"/>
        <v>1.5</v>
      </c>
      <c r="S11">
        <f t="shared" si="1"/>
        <v>1.2800000000000002</v>
      </c>
      <c r="T11">
        <f t="shared" si="5"/>
        <v>6.5800000000000018</v>
      </c>
      <c r="U11">
        <f t="shared" si="7"/>
        <v>4.5399999999999991</v>
      </c>
      <c r="V11" s="20">
        <f t="shared" si="6"/>
        <v>8.0800000000000018</v>
      </c>
      <c r="W11" s="21">
        <f t="shared" si="2"/>
        <v>5.8199999999999994</v>
      </c>
      <c r="X11" s="15">
        <f>ROUND(R11*$AB$1,2)</f>
        <v>4.8499999999999996</v>
      </c>
      <c r="Y11" s="15">
        <f>ROUND(S11*$AC$1,2)</f>
        <v>8.85</v>
      </c>
      <c r="Z11" s="15">
        <f>ROUND(T11*$AB$1,2)</f>
        <v>21.26</v>
      </c>
      <c r="AA11" s="15">
        <f>ROUND(U11*$AC$1,2)</f>
        <v>31.37</v>
      </c>
      <c r="AB11" s="22">
        <f>X11+Z11</f>
        <v>26.11</v>
      </c>
      <c r="AC11" s="22">
        <f>Y11+AA11</f>
        <v>40.22</v>
      </c>
      <c r="AD11" t="s">
        <v>43</v>
      </c>
    </row>
    <row r="12" spans="1:30" ht="15.6" x14ac:dyDescent="0.3">
      <c r="A12">
        <v>2.5</v>
      </c>
      <c r="B12" t="s">
        <v>274</v>
      </c>
      <c r="C12">
        <v>93.7</v>
      </c>
      <c r="D12">
        <v>99.1</v>
      </c>
      <c r="E12" s="1"/>
      <c r="F12" s="12">
        <f t="shared" si="3"/>
        <v>5.6600000000000019</v>
      </c>
      <c r="G12" s="12">
        <f>W12</f>
        <v>2.09</v>
      </c>
      <c r="J12">
        <v>5.62</v>
      </c>
      <c r="K12">
        <v>6.97</v>
      </c>
      <c r="L12">
        <v>2.08</v>
      </c>
      <c r="M12">
        <v>2.66</v>
      </c>
      <c r="N12">
        <v>20.329999999999998</v>
      </c>
      <c r="O12">
        <v>24.64</v>
      </c>
      <c r="P12">
        <v>6.59</v>
      </c>
      <c r="Q12">
        <v>8.1</v>
      </c>
      <c r="R12">
        <f t="shared" si="4"/>
        <v>1.3499999999999996</v>
      </c>
      <c r="S12">
        <f t="shared" si="1"/>
        <v>0.58000000000000007</v>
      </c>
      <c r="T12">
        <f t="shared" si="5"/>
        <v>4.3100000000000023</v>
      </c>
      <c r="U12">
        <f t="shared" si="7"/>
        <v>1.5099999999999998</v>
      </c>
      <c r="V12" s="20">
        <f>(K12-J12)+(O12-N12)</f>
        <v>5.6600000000000019</v>
      </c>
      <c r="W12" s="21">
        <f>(M12-L12)+(Q12-P12)</f>
        <v>2.09</v>
      </c>
      <c r="X12" s="15">
        <f>ROUND(R12*$AB$1,2)</f>
        <v>4.3600000000000003</v>
      </c>
      <c r="Y12" s="15">
        <f>ROUND(S12*$AC$1,2)</f>
        <v>4.01</v>
      </c>
      <c r="Z12" s="15">
        <f>ROUND(T12*$AB$1,2)</f>
        <v>13.92</v>
      </c>
      <c r="AA12" s="15">
        <f>ROUND(U12*$AC$1,2)</f>
        <v>10.44</v>
      </c>
      <c r="AB12" s="22">
        <f>X12+Z12</f>
        <v>18.28</v>
      </c>
      <c r="AC12" s="22">
        <f>Y12+AA12</f>
        <v>14.45</v>
      </c>
      <c r="AD12" t="s">
        <v>44</v>
      </c>
    </row>
    <row r="13" spans="1:30" ht="15.6" x14ac:dyDescent="0.3">
      <c r="A13">
        <v>1</v>
      </c>
      <c r="B13" t="s">
        <v>18</v>
      </c>
      <c r="C13">
        <v>78.7</v>
      </c>
      <c r="E13" s="1"/>
      <c r="F13" s="12">
        <f t="shared" si="3"/>
        <v>0</v>
      </c>
      <c r="G13" s="141">
        <f t="shared" si="0"/>
        <v>7.0000000000000007E-2</v>
      </c>
      <c r="J13">
        <v>0.7</v>
      </c>
      <c r="K13">
        <v>0.7</v>
      </c>
      <c r="L13">
        <v>0.12</v>
      </c>
      <c r="M13">
        <v>0.19</v>
      </c>
      <c r="N13">
        <v>0.01</v>
      </c>
      <c r="O13">
        <v>0.01</v>
      </c>
      <c r="R13">
        <f>K13-J13</f>
        <v>0</v>
      </c>
      <c r="S13">
        <f t="shared" si="1"/>
        <v>7.0000000000000007E-2</v>
      </c>
      <c r="T13">
        <f t="shared" si="5"/>
        <v>0</v>
      </c>
      <c r="V13" s="20">
        <f>(K13-J13)+(O13-N13)</f>
        <v>0</v>
      </c>
      <c r="W13" s="21">
        <f>M13-L13</f>
        <v>7.0000000000000007E-2</v>
      </c>
      <c r="X13" s="15">
        <f>ROUND(R13*$AB$1,2)</f>
        <v>0</v>
      </c>
      <c r="Y13" s="15">
        <f>ROUND(S13*$AC$1,2)</f>
        <v>0.48</v>
      </c>
      <c r="Z13" s="15">
        <f>ROUND(T13*$AB$1,2)</f>
        <v>0</v>
      </c>
      <c r="AA13" s="16"/>
      <c r="AB13" s="22">
        <f>X13+Z13</f>
        <v>0</v>
      </c>
      <c r="AC13" s="22">
        <f>Y13</f>
        <v>0.48</v>
      </c>
      <c r="AD13" t="s">
        <v>18</v>
      </c>
    </row>
    <row r="14" spans="1:30" ht="15.6" x14ac:dyDescent="0.3">
      <c r="A14">
        <f>SUM(A3:A13)</f>
        <v>18.5</v>
      </c>
      <c r="C14">
        <v>786.74</v>
      </c>
      <c r="E14" s="13"/>
      <c r="F14">
        <f>SUM(F3:F13)</f>
        <v>34.770000000000003</v>
      </c>
      <c r="G14">
        <f>SUM(G3:G13)</f>
        <v>21.859999999999996</v>
      </c>
      <c r="H14" t="s">
        <v>292</v>
      </c>
      <c r="V14" s="16"/>
      <c r="W14" s="16"/>
      <c r="X14" s="15">
        <f>ROUND($X$13/4,2)</f>
        <v>0</v>
      </c>
      <c r="Y14" s="16">
        <f>ROUND($Y$13/4,2)</f>
        <v>0.12</v>
      </c>
      <c r="Z14" s="16">
        <f>ROUND($Z$13/4,2)</f>
        <v>0</v>
      </c>
      <c r="AA14" s="16"/>
      <c r="AB14" s="22">
        <f>X14+Z14</f>
        <v>0</v>
      </c>
      <c r="AC14" s="22">
        <f>Y14</f>
        <v>0.12</v>
      </c>
    </row>
    <row r="15" spans="1:30" ht="15.6" x14ac:dyDescent="0.3">
      <c r="E15" s="13"/>
      <c r="V15" s="16"/>
      <c r="W15" s="16"/>
      <c r="X15" s="15">
        <f>ROUND($X$13/2,2)</f>
        <v>0</v>
      </c>
      <c r="Y15" s="16">
        <f>ROUND($Y$13/2,2)</f>
        <v>0.24</v>
      </c>
      <c r="Z15" s="16">
        <f>ROUND($Z$13/2,2)</f>
        <v>0</v>
      </c>
      <c r="AA15" s="16"/>
      <c r="AB15" s="22">
        <f>X15+Z15</f>
        <v>0</v>
      </c>
      <c r="AC15" s="22">
        <f>Y15</f>
        <v>0.24</v>
      </c>
    </row>
    <row r="17" spans="2:27" x14ac:dyDescent="0.25">
      <c r="B17" t="s">
        <v>29</v>
      </c>
      <c r="C17" t="str">
        <f>H14</f>
        <v xml:space="preserve">        </v>
      </c>
    </row>
    <row r="18" spans="2:27" x14ac:dyDescent="0.25">
      <c r="B18" t="s">
        <v>30</v>
      </c>
      <c r="C18">
        <f>G14</f>
        <v>21.859999999999996</v>
      </c>
    </row>
    <row r="19" spans="2:27" x14ac:dyDescent="0.25">
      <c r="B19" t="s">
        <v>31</v>
      </c>
      <c r="C19">
        <f>F14</f>
        <v>34.770000000000003</v>
      </c>
      <c r="F19">
        <f>F6/3</f>
        <v>1.6666666666666663E-2</v>
      </c>
      <c r="G19">
        <f>G6/3</f>
        <v>1.3333333333333336E-2</v>
      </c>
    </row>
    <row r="20" spans="2:27" x14ac:dyDescent="0.25">
      <c r="V20" s="16"/>
      <c r="W20" s="16"/>
      <c r="X20" s="16"/>
      <c r="Y20" s="16"/>
      <c r="Z20" s="16"/>
      <c r="AA20" s="16"/>
    </row>
    <row r="23" spans="2:27" x14ac:dyDescent="0.25">
      <c r="V23" s="16"/>
      <c r="W23" s="16"/>
      <c r="X23" s="16"/>
      <c r="Y23" s="16"/>
      <c r="Z23" s="16"/>
      <c r="AA23" s="16"/>
    </row>
    <row r="27" spans="2:27" x14ac:dyDescent="0.25">
      <c r="J27">
        <f>K11-J11</f>
        <v>1.5</v>
      </c>
      <c r="L27">
        <f>M11-L11</f>
        <v>1.2800000000000002</v>
      </c>
      <c r="N27">
        <f>O11-N11</f>
        <v>6.5800000000000018</v>
      </c>
      <c r="P27">
        <f>Q11-P11</f>
        <v>4.5399999999999991</v>
      </c>
    </row>
    <row r="28" spans="2:27" x14ac:dyDescent="0.25">
      <c r="J28">
        <f>K12-J12</f>
        <v>1.3499999999999996</v>
      </c>
      <c r="L28">
        <f>M12-L12</f>
        <v>0.58000000000000007</v>
      </c>
      <c r="N28">
        <f>O12-N12</f>
        <v>4.3100000000000023</v>
      </c>
    </row>
    <row r="49" spans="15:15" x14ac:dyDescent="0.25">
      <c r="O49">
        <v>9</v>
      </c>
    </row>
  </sheetData>
  <phoneticPr fontId="11" type="noConversion"/>
  <pageMargins left="0.7" right="0.7" top="0.75" bottom="0.75" header="0.3" footer="0.3"/>
  <pageSetup paperSize="9" orientation="portrait" r:id="rId1"/>
  <headerFooter>
    <oddFooter>&amp;R&amp;1#&amp;"Calibri"&amp;10&amp;K000000Ierobežotas pieejamības ārēja informācija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2CD4-C053-4128-8320-3F6B20665E59}">
  <sheetPr codeName="Sheet4"/>
  <dimension ref="A1:AQ44"/>
  <sheetViews>
    <sheetView zoomScale="92" zoomScaleNormal="92" workbookViewId="0">
      <pane xSplit="4" topLeftCell="I1" activePane="topRight" state="frozen"/>
      <selection pane="topRight" activeCell="K4" sqref="K4"/>
    </sheetView>
  </sheetViews>
  <sheetFormatPr defaultRowHeight="13.2" outlineLevelRow="2" x14ac:dyDescent="0.25"/>
  <cols>
    <col min="3" max="3" width="12.109375" bestFit="1" customWidth="1"/>
    <col min="4" max="4" width="12.6640625" customWidth="1"/>
    <col min="5" max="5" width="12.88671875" customWidth="1"/>
    <col min="7" max="7" width="8.6640625" hidden="1" customWidth="1"/>
    <col min="8" max="8" width="8.88671875" hidden="1" customWidth="1"/>
    <col min="9" max="9" width="27.6640625" customWidth="1"/>
    <col min="10" max="10" width="16" customWidth="1"/>
    <col min="14" max="14" width="25.88671875" customWidth="1"/>
    <col min="15" max="15" width="16.44140625" customWidth="1"/>
    <col min="16" max="16" width="27.88671875" style="33" bestFit="1" customWidth="1"/>
    <col min="17" max="21" width="12.5546875" customWidth="1"/>
    <col min="26" max="26" width="10" customWidth="1"/>
    <col min="27" max="27" width="9.5546875" bestFit="1" customWidth="1"/>
    <col min="29" max="29" width="9.5546875" bestFit="1" customWidth="1"/>
    <col min="43" max="43" width="9.5546875" bestFit="1" customWidth="1"/>
  </cols>
  <sheetData>
    <row r="1" spans="1:43" x14ac:dyDescent="0.25">
      <c r="A1" t="s">
        <v>85</v>
      </c>
      <c r="B1" t="s">
        <v>80</v>
      </c>
      <c r="C1" s="16" t="s">
        <v>36</v>
      </c>
      <c r="D1" t="s">
        <v>45</v>
      </c>
      <c r="E1" t="s">
        <v>46</v>
      </c>
      <c r="F1" t="s">
        <v>47</v>
      </c>
      <c r="G1" t="s">
        <v>48</v>
      </c>
      <c r="H1" t="s">
        <v>61</v>
      </c>
      <c r="I1" t="s">
        <v>89</v>
      </c>
      <c r="J1" s="16" t="s">
        <v>84</v>
      </c>
      <c r="K1" s="31"/>
      <c r="M1" t="s">
        <v>85</v>
      </c>
      <c r="W1" t="s">
        <v>78</v>
      </c>
      <c r="X1" t="s">
        <v>79</v>
      </c>
    </row>
    <row r="2" spans="1:43" hidden="1" outlineLevel="1" x14ac:dyDescent="0.25">
      <c r="A2" t="e">
        <f>J2/F2</f>
        <v>#DIV/0!</v>
      </c>
      <c r="B2">
        <v>25</v>
      </c>
      <c r="C2" t="s">
        <v>43</v>
      </c>
      <c r="D2">
        <v>6760.46</v>
      </c>
      <c r="E2">
        <v>6760.46</v>
      </c>
      <c r="F2">
        <f>E2-D2</f>
        <v>0</v>
      </c>
      <c r="G2">
        <v>0.1164</v>
      </c>
      <c r="H2">
        <v>0.1515</v>
      </c>
      <c r="I2" s="1"/>
      <c r="J2" s="15">
        <f>I2+(I2/100*21)</f>
        <v>0</v>
      </c>
      <c r="K2" s="32"/>
      <c r="L2" s="1"/>
      <c r="M2" s="1" t="e">
        <f>J2/F2</f>
        <v>#DIV/0!</v>
      </c>
      <c r="T2" s="1"/>
      <c r="W2" s="1">
        <f>V2/100*21</f>
        <v>0</v>
      </c>
      <c r="X2" s="1">
        <f>V2+W2</f>
        <v>0</v>
      </c>
      <c r="Y2">
        <f>F2</f>
        <v>0</v>
      </c>
      <c r="Z2">
        <f>$AB$18</f>
        <v>0.15999830000000001</v>
      </c>
      <c r="AA2" s="1">
        <f>Y2*Z2</f>
        <v>0</v>
      </c>
      <c r="AB2" s="1">
        <f>$Q$10</f>
        <v>0</v>
      </c>
      <c r="AC2" s="1">
        <f>AA2+AB2</f>
        <v>0</v>
      </c>
      <c r="AF2" s="1"/>
      <c r="AG2" s="1"/>
      <c r="AH2">
        <v>36</v>
      </c>
      <c r="AI2">
        <f>$AB$18</f>
        <v>0.15999830000000001</v>
      </c>
      <c r="AJ2" s="1">
        <f>AH2*AI2</f>
        <v>5.7599388000000005</v>
      </c>
      <c r="AK2">
        <v>0.2</v>
      </c>
      <c r="AL2" s="1">
        <f>AJ2+AK2</f>
        <v>5.9599388000000006</v>
      </c>
      <c r="AN2" s="1">
        <f t="shared" ref="AN2:AO4" si="0">X2+AG2</f>
        <v>0</v>
      </c>
      <c r="AO2">
        <f t="shared" si="0"/>
        <v>36</v>
      </c>
      <c r="AP2">
        <f>AI2</f>
        <v>0.15999830000000001</v>
      </c>
      <c r="AQ2" s="1">
        <f>AO2*AP2</f>
        <v>5.7599388000000005</v>
      </c>
    </row>
    <row r="3" spans="1:43" hidden="1" outlineLevel="1" x14ac:dyDescent="0.25">
      <c r="A3" t="e">
        <f>J3/F3</f>
        <v>#DIV/0!</v>
      </c>
      <c r="B3">
        <v>25</v>
      </c>
      <c r="C3" t="s">
        <v>44</v>
      </c>
      <c r="D3" s="1">
        <v>14038.42</v>
      </c>
      <c r="E3" s="1">
        <v>14038.42</v>
      </c>
      <c r="F3">
        <f>E3-D3</f>
        <v>0</v>
      </c>
      <c r="G3">
        <v>0.1164</v>
      </c>
      <c r="H3">
        <v>0.1515</v>
      </c>
      <c r="I3" s="1"/>
      <c r="J3" s="15">
        <f>I3+(I3/100*21)</f>
        <v>0</v>
      </c>
      <c r="K3" s="32"/>
      <c r="L3" s="1"/>
      <c r="M3" s="1" t="e">
        <f>J3/F3</f>
        <v>#DIV/0!</v>
      </c>
      <c r="T3" s="1"/>
      <c r="W3" s="1">
        <f>V3/100*21</f>
        <v>0</v>
      </c>
      <c r="X3" s="1">
        <f>V3+W3</f>
        <v>0</v>
      </c>
      <c r="Y3">
        <f>F3</f>
        <v>0</v>
      </c>
      <c r="Z3">
        <f>$AB$18</f>
        <v>0.15999830000000001</v>
      </c>
      <c r="AA3" s="1">
        <f>Y3*Z3</f>
        <v>0</v>
      </c>
      <c r="AB3" s="1">
        <v>0.25</v>
      </c>
      <c r="AC3" s="1">
        <f>AA3+AB3</f>
        <v>0.25</v>
      </c>
      <c r="AF3" s="1"/>
      <c r="AG3" s="1"/>
      <c r="AH3">
        <v>70</v>
      </c>
      <c r="AI3">
        <f>$AB$18</f>
        <v>0.15999830000000001</v>
      </c>
      <c r="AJ3" s="1">
        <f>AH3*AI3</f>
        <v>11.199881000000001</v>
      </c>
      <c r="AK3">
        <v>0.2</v>
      </c>
      <c r="AL3" s="1">
        <f>AJ3+AK3</f>
        <v>11.399881000000001</v>
      </c>
      <c r="AN3" s="1">
        <f t="shared" si="0"/>
        <v>0</v>
      </c>
      <c r="AO3">
        <f t="shared" si="0"/>
        <v>70</v>
      </c>
      <c r="AP3">
        <f>AI3</f>
        <v>0.15999830000000001</v>
      </c>
      <c r="AQ3" s="1">
        <f>AO3*AP3</f>
        <v>11.199881000000001</v>
      </c>
    </row>
    <row r="4" spans="1:43" outlineLevel="1" x14ac:dyDescent="0.25">
      <c r="A4">
        <f>J4/F4</f>
        <v>0.24215327156503705</v>
      </c>
      <c r="B4">
        <v>25</v>
      </c>
      <c r="C4" t="s">
        <v>58</v>
      </c>
      <c r="D4">
        <v>28024.36</v>
      </c>
      <c r="E4">
        <v>28302.82</v>
      </c>
      <c r="F4">
        <f>E4-D4</f>
        <v>278.45999999999913</v>
      </c>
      <c r="G4">
        <v>0.1164</v>
      </c>
      <c r="H4">
        <v>0.1515</v>
      </c>
      <c r="I4" s="1">
        <v>55.73</v>
      </c>
      <c r="J4" s="15">
        <f>ROUND(I4+(I4/100*21),2)</f>
        <v>67.430000000000007</v>
      </c>
      <c r="K4" s="32"/>
      <c r="L4" s="1"/>
      <c r="M4" s="1">
        <f>J4/F4</f>
        <v>0.24215327156503705</v>
      </c>
      <c r="T4" s="1"/>
      <c r="W4" s="1">
        <f>V4/100*21</f>
        <v>0</v>
      </c>
      <c r="X4" s="1">
        <f>V4+W4</f>
        <v>0</v>
      </c>
      <c r="Y4">
        <f>F4</f>
        <v>278.45999999999913</v>
      </c>
      <c r="Z4">
        <f>$AB$18</f>
        <v>0.15999830000000001</v>
      </c>
      <c r="AA4" s="1">
        <f>Y4*Z4</f>
        <v>44.553126617999865</v>
      </c>
      <c r="AB4" s="1"/>
      <c r="AC4" s="1">
        <f>AA4+AB4</f>
        <v>44.553126617999865</v>
      </c>
      <c r="AF4" s="1"/>
      <c r="AG4" s="1"/>
      <c r="AH4">
        <v>59</v>
      </c>
      <c r="AI4">
        <f>$AB$18</f>
        <v>0.15999830000000001</v>
      </c>
      <c r="AJ4" s="1">
        <f>AH4*AI4</f>
        <v>9.4398996999999998</v>
      </c>
      <c r="AK4">
        <v>0.2</v>
      </c>
      <c r="AL4" s="1">
        <f>AJ4+AK4</f>
        <v>9.6398996999999991</v>
      </c>
      <c r="AN4" s="1">
        <f t="shared" si="0"/>
        <v>0</v>
      </c>
      <c r="AO4">
        <f t="shared" si="0"/>
        <v>337.45999999999913</v>
      </c>
      <c r="AP4">
        <f>AI4</f>
        <v>0.15999830000000001</v>
      </c>
      <c r="AQ4" s="1">
        <f>AO4*AP4</f>
        <v>53.993026317999863</v>
      </c>
    </row>
    <row r="5" spans="1:43" x14ac:dyDescent="0.25">
      <c r="F5" s="16"/>
      <c r="K5" s="14"/>
      <c r="L5" s="1"/>
      <c r="M5" s="1"/>
      <c r="S5" s="1"/>
      <c r="T5" s="1"/>
      <c r="U5" s="1"/>
    </row>
    <row r="6" spans="1:43" x14ac:dyDescent="0.25">
      <c r="K6" s="14"/>
      <c r="AA6" s="1" t="e">
        <f>#REF!+#REF!</f>
        <v>#REF!</v>
      </c>
    </row>
    <row r="7" spans="1:43" x14ac:dyDescent="0.25">
      <c r="I7" s="15"/>
      <c r="J7" s="15"/>
      <c r="K7" s="32"/>
    </row>
    <row r="8" spans="1:43" outlineLevel="1" x14ac:dyDescent="0.25">
      <c r="G8">
        <f>L3-J3</f>
        <v>0</v>
      </c>
      <c r="H8">
        <f>G8*G3</f>
        <v>0</v>
      </c>
      <c r="T8" s="1"/>
      <c r="AO8" t="e">
        <f>#REF!*AI4</f>
        <v>#REF!</v>
      </c>
    </row>
    <row r="9" spans="1:43" outlineLevel="1" x14ac:dyDescent="0.25"/>
    <row r="10" spans="1:43" x14ac:dyDescent="0.25">
      <c r="Q10" s="27"/>
      <c r="R10" s="27"/>
      <c r="S10" s="27"/>
      <c r="T10" s="27"/>
      <c r="U10" s="27"/>
    </row>
    <row r="11" spans="1:43" outlineLevel="2" x14ac:dyDescent="0.25">
      <c r="AB11">
        <v>4.904E-2</v>
      </c>
      <c r="AC11">
        <v>4.904E-2</v>
      </c>
    </row>
    <row r="12" spans="1:43" outlineLevel="2" x14ac:dyDescent="0.25">
      <c r="AB12">
        <v>5.6399999999999999E-2</v>
      </c>
      <c r="AC12">
        <v>5.6399999999999999E-2</v>
      </c>
    </row>
    <row r="13" spans="1:43" outlineLevel="2" x14ac:dyDescent="0.25">
      <c r="O13" s="1"/>
      <c r="AB13">
        <v>9.4199999999999996E-3</v>
      </c>
      <c r="AC13">
        <v>9.4199999999999996E-3</v>
      </c>
    </row>
    <row r="14" spans="1:43" outlineLevel="2" x14ac:dyDescent="0.25">
      <c r="AB14">
        <v>1.737E-2</v>
      </c>
      <c r="AC14">
        <v>1.737E-2</v>
      </c>
    </row>
    <row r="15" spans="1:43" outlineLevel="1" x14ac:dyDescent="0.25">
      <c r="AB15" s="16">
        <f>SUM(AB11:AB14)</f>
        <v>0.13223000000000001</v>
      </c>
      <c r="AC15" s="16">
        <f>SUM(AC11:AC14)</f>
        <v>0.13223000000000001</v>
      </c>
    </row>
    <row r="16" spans="1:43" outlineLevel="1" x14ac:dyDescent="0.25">
      <c r="O16" s="1"/>
    </row>
    <row r="17" spans="5:28" outlineLevel="1" x14ac:dyDescent="0.25">
      <c r="O17" s="1"/>
      <c r="P17" s="14"/>
      <c r="AB17">
        <f>AB15/100*21</f>
        <v>2.7768300000000003E-2</v>
      </c>
    </row>
    <row r="18" spans="5:28" x14ac:dyDescent="0.25">
      <c r="AB18">
        <f>AB15+AB17</f>
        <v>0.15999830000000001</v>
      </c>
    </row>
    <row r="24" spans="5:28" x14ac:dyDescent="0.25">
      <c r="J24" s="1"/>
    </row>
    <row r="25" spans="5:28" x14ac:dyDescent="0.25">
      <c r="I25" s="34"/>
    </row>
    <row r="26" spans="5:28" outlineLevel="1" x14ac:dyDescent="0.25">
      <c r="I26" s="34"/>
      <c r="J26" s="1"/>
      <c r="K26" s="28"/>
      <c r="R26" s="1"/>
    </row>
    <row r="27" spans="5:28" outlineLevel="1" x14ac:dyDescent="0.25">
      <c r="I27" s="34"/>
      <c r="J27" s="1"/>
      <c r="K27" s="28"/>
      <c r="L27" s="28"/>
      <c r="R27" s="1"/>
    </row>
    <row r="28" spans="5:28" x14ac:dyDescent="0.25">
      <c r="I28" s="34"/>
      <c r="J28" s="15"/>
      <c r="L28" s="15"/>
    </row>
    <row r="29" spans="5:28" x14ac:dyDescent="0.25">
      <c r="I29" s="34"/>
    </row>
    <row r="30" spans="5:28" x14ac:dyDescent="0.25">
      <c r="M30" s="16"/>
      <c r="N30" s="16"/>
      <c r="O30" s="15"/>
      <c r="P30" s="32"/>
    </row>
    <row r="31" spans="5:28" x14ac:dyDescent="0.25">
      <c r="E31" s="1"/>
      <c r="F31" s="1"/>
      <c r="I31" s="1"/>
      <c r="J31" s="1"/>
    </row>
    <row r="32" spans="5:28" outlineLevel="1" x14ac:dyDescent="0.25">
      <c r="E32" s="1"/>
      <c r="F32" s="1"/>
      <c r="I32" s="15"/>
      <c r="J32" s="1"/>
    </row>
    <row r="33" spans="5:10" outlineLevel="1" x14ac:dyDescent="0.25">
      <c r="F33" s="1"/>
      <c r="I33" s="15"/>
      <c r="J33" s="1"/>
    </row>
    <row r="34" spans="5:10" x14ac:dyDescent="0.25">
      <c r="E34" s="1"/>
      <c r="F34" s="1"/>
      <c r="I34" s="1"/>
      <c r="J34" s="1"/>
    </row>
    <row r="35" spans="5:10" x14ac:dyDescent="0.25">
      <c r="E35" s="1"/>
      <c r="F35" s="1"/>
      <c r="I35" s="1"/>
      <c r="J35" s="1"/>
    </row>
    <row r="36" spans="5:10" x14ac:dyDescent="0.25">
      <c r="E36" s="1"/>
      <c r="F36" s="1"/>
      <c r="I36" s="1"/>
      <c r="J36" s="1"/>
    </row>
    <row r="37" spans="5:10" x14ac:dyDescent="0.25">
      <c r="E37" s="1"/>
      <c r="F37" s="1"/>
      <c r="I37" s="1"/>
      <c r="J37" s="1"/>
    </row>
    <row r="38" spans="5:10" x14ac:dyDescent="0.25">
      <c r="E38" s="1"/>
      <c r="F38" s="1"/>
      <c r="I38" s="1"/>
      <c r="J38" s="1"/>
    </row>
    <row r="39" spans="5:10" x14ac:dyDescent="0.25">
      <c r="E39" s="1"/>
      <c r="F39" s="1"/>
      <c r="I39" s="1"/>
      <c r="J39" s="1"/>
    </row>
    <row r="40" spans="5:10" x14ac:dyDescent="0.25">
      <c r="E40" s="1"/>
      <c r="F40" s="1"/>
      <c r="I40" s="1"/>
      <c r="J40" s="1"/>
    </row>
    <row r="41" spans="5:10" x14ac:dyDescent="0.25">
      <c r="E41" s="1"/>
      <c r="F41" s="1"/>
      <c r="I41" s="1"/>
      <c r="J41" s="1"/>
    </row>
    <row r="42" spans="5:10" x14ac:dyDescent="0.25">
      <c r="E42" s="1"/>
      <c r="I42" s="1"/>
      <c r="J42" s="1"/>
    </row>
    <row r="43" spans="5:10" x14ac:dyDescent="0.25">
      <c r="E43" s="1"/>
      <c r="I43" s="1"/>
      <c r="J43" s="1"/>
    </row>
    <row r="44" spans="5:10" x14ac:dyDescent="0.25">
      <c r="E44" s="1"/>
      <c r="I44" s="15"/>
      <c r="J44" s="15"/>
    </row>
  </sheetData>
  <phoneticPr fontId="11" type="noConversion"/>
  <pageMargins left="0.7" right="0.7" top="0.75" bottom="0.75" header="0.3" footer="0.3"/>
  <pageSetup paperSize="9" orientation="portrait" horizontalDpi="4294967293" r:id="rId1"/>
  <headerFooter>
    <oddFooter>&amp;R&amp;1#&amp;"Calibri"&amp;10&amp;K000000Ierobežotas pieejamības ārēja informācija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FB47-D0EF-4D23-BFDF-F36E3CA43A7E}">
  <sheetPr codeName="Sheet7"/>
  <dimension ref="A2:I45"/>
  <sheetViews>
    <sheetView workbookViewId="0">
      <selection activeCell="G28" sqref="G28"/>
    </sheetView>
  </sheetViews>
  <sheetFormatPr defaultRowHeight="13.2" x14ac:dyDescent="0.25"/>
  <cols>
    <col min="1" max="1" width="28.88671875" customWidth="1"/>
    <col min="2" max="2" width="10.44140625" bestFit="1" customWidth="1"/>
    <col min="3" max="3" width="5.109375" customWidth="1"/>
    <col min="4" max="4" width="10.33203125" customWidth="1"/>
    <col min="5" max="5" width="7.6640625" customWidth="1"/>
    <col min="7" max="7" width="16.44140625" customWidth="1"/>
    <col min="8" max="8" width="11" bestFit="1" customWidth="1"/>
  </cols>
  <sheetData>
    <row r="2" spans="1:7" x14ac:dyDescent="0.25">
      <c r="A2" s="165">
        <f ca="1">TODAY()</f>
        <v>46135</v>
      </c>
      <c r="B2" s="165"/>
      <c r="C2" s="165"/>
      <c r="E2" s="16" t="str">
        <f>_xlfn.TEXTJOIN("",TRUE,"Rēķins Nr. B",Rēķini!A1,Rēķini!D2,"0",Rekvizīti!C3)</f>
        <v>Rēķins Nr. B2026040436</v>
      </c>
      <c r="G2" s="39"/>
    </row>
    <row r="4" spans="1:7" x14ac:dyDescent="0.25">
      <c r="A4" s="40" t="s">
        <v>218</v>
      </c>
      <c r="B4" s="40"/>
      <c r="E4" s="40" t="s">
        <v>279</v>
      </c>
    </row>
    <row r="5" spans="1:7" x14ac:dyDescent="0.25">
      <c r="A5" s="40" t="s">
        <v>219</v>
      </c>
      <c r="E5" s="41" t="s">
        <v>107</v>
      </c>
    </row>
    <row r="6" spans="1:7" x14ac:dyDescent="0.25">
      <c r="A6" s="40" t="s">
        <v>220</v>
      </c>
      <c r="B6" s="41"/>
    </row>
    <row r="7" spans="1:7" x14ac:dyDescent="0.25">
      <c r="A7" s="40" t="s">
        <v>221</v>
      </c>
      <c r="B7" s="41"/>
      <c r="D7" s="41"/>
    </row>
    <row r="8" spans="1:7" x14ac:dyDescent="0.25">
      <c r="A8" s="40" t="s">
        <v>222</v>
      </c>
      <c r="B8" s="41"/>
      <c r="D8" s="41"/>
    </row>
    <row r="9" spans="1:7" x14ac:dyDescent="0.25">
      <c r="B9" s="40"/>
    </row>
    <row r="10" spans="1:7" x14ac:dyDescent="0.25">
      <c r="A10" s="53" t="str">
        <f>_xlfn.TEXTJOIN("",TRUE,"Komunālo pakalpojumu sniegšanas periods: ","2025. gada ",Rēķini!$D$1)</f>
        <v>Komunālo pakalpojumu sniegšanas periods: 2025. gada MARTS</v>
      </c>
    </row>
    <row r="11" spans="1:7" x14ac:dyDescent="0.25">
      <c r="A11" s="53" t="str">
        <f>_xlfn.TEXTJOIN("",TRUE,"Apsaimniekošana, remontdarbu fonds: ",Rēķini!$A$1,". gada ",Rēķini!$E$1)</f>
        <v>Apsaimniekošana, remontdarbu fonds: 2026. gada APRĪLIS</v>
      </c>
    </row>
    <row r="13" spans="1:7" x14ac:dyDescent="0.25">
      <c r="A13" s="39" t="s">
        <v>91</v>
      </c>
      <c r="B13" s="42">
        <f>DATE(Rēķini!A1,Rēķini!$D$2,30)</f>
        <v>46142</v>
      </c>
    </row>
    <row r="14" spans="1:7" ht="13.8" thickBot="1" x14ac:dyDescent="0.3"/>
    <row r="15" spans="1:7" x14ac:dyDescent="0.25">
      <c r="A15" s="151" t="s">
        <v>92</v>
      </c>
      <c r="B15" s="152"/>
      <c r="C15" s="153"/>
      <c r="D15" s="143" t="s">
        <v>93</v>
      </c>
      <c r="E15" s="143" t="s">
        <v>94</v>
      </c>
      <c r="F15" s="143" t="s">
        <v>95</v>
      </c>
      <c r="G15" s="143" t="s">
        <v>96</v>
      </c>
    </row>
    <row r="16" spans="1:7" ht="13.8" thickBot="1" x14ac:dyDescent="0.3">
      <c r="A16" s="154"/>
      <c r="B16" s="155"/>
      <c r="C16" s="156"/>
      <c r="D16" s="144"/>
      <c r="E16" s="144"/>
      <c r="F16" s="144"/>
      <c r="G16" s="144"/>
    </row>
    <row r="17" spans="1:9" ht="15.6" x14ac:dyDescent="0.25">
      <c r="A17" s="157" t="s">
        <v>213</v>
      </c>
      <c r="B17" s="158"/>
      <c r="C17" s="159"/>
      <c r="D17" s="52" t="s">
        <v>103</v>
      </c>
      <c r="E17" s="43">
        <v>13.9</v>
      </c>
      <c r="F17" s="50">
        <v>0.60440000000000005</v>
      </c>
      <c r="G17" s="50">
        <f>E17*F17</f>
        <v>8.4011600000000008</v>
      </c>
    </row>
    <row r="18" spans="1:9" ht="15.6" x14ac:dyDescent="0.25">
      <c r="A18" s="145" t="s">
        <v>242</v>
      </c>
      <c r="B18" s="146"/>
      <c r="C18" s="147"/>
      <c r="D18" s="52" t="s">
        <v>103</v>
      </c>
      <c r="E18" s="43">
        <v>13.9</v>
      </c>
      <c r="F18" s="50">
        <v>0.31559999999999999</v>
      </c>
      <c r="G18" s="50">
        <f>E18*F18</f>
        <v>4.3868400000000003</v>
      </c>
    </row>
    <row r="19" spans="1:9" x14ac:dyDescent="0.25">
      <c r="A19" s="145" t="s">
        <v>97</v>
      </c>
      <c r="B19" s="146"/>
      <c r="C19" s="147"/>
      <c r="D19" s="43"/>
      <c r="E19" s="43"/>
      <c r="F19" s="44"/>
      <c r="G19" s="50"/>
    </row>
    <row r="20" spans="1:9" ht="15.6" x14ac:dyDescent="0.25">
      <c r="A20" s="148" t="str">
        <f>_xlfn.TEXTJOIN(" ",TRUE,"Aukstā ūdens skaitītājs (rād:",Ūdens!J2,"-", Ūdens!K2, ")")</f>
        <v>Aukstā ūdens skaitītājs (rād: 1,58 - 3,98 )</v>
      </c>
      <c r="B20" s="149"/>
      <c r="C20" s="150"/>
      <c r="D20" s="43" t="s">
        <v>98</v>
      </c>
      <c r="E20" s="43">
        <f>Ūdens!R2</f>
        <v>2.4</v>
      </c>
      <c r="F20" s="50">
        <f>Rēķini!G2</f>
        <v>3.2307000000000001</v>
      </c>
      <c r="G20" s="50">
        <f>Ūdens!X2</f>
        <v>7.75</v>
      </c>
      <c r="I20" s="1"/>
    </row>
    <row r="21" spans="1:9" ht="15.75" customHeight="1" x14ac:dyDescent="0.25">
      <c r="A21" s="148" t="str">
        <f>_xlfn.TEXTJOIN(" ",TRUE,"Karstā ūdens skaitītājs (rād:",Ūdens!L2,"-", Ūdens!M2, ")")</f>
        <v>Karstā ūdens skaitītājs (rād: 0,28 - 0,47 )</v>
      </c>
      <c r="B21" s="149"/>
      <c r="C21" s="150"/>
      <c r="D21" s="43" t="s">
        <v>98</v>
      </c>
      <c r="E21" s="43">
        <f>Ūdens!S2</f>
        <v>0.18999999999999995</v>
      </c>
      <c r="F21" s="44">
        <f>Rēķini!H2</f>
        <v>6.9107000000000003</v>
      </c>
      <c r="G21" s="50">
        <f>Ūdens!Y2</f>
        <v>1.31</v>
      </c>
      <c r="I21" s="1"/>
    </row>
    <row r="22" spans="1:9" x14ac:dyDescent="0.25">
      <c r="A22" s="145" t="s">
        <v>99</v>
      </c>
      <c r="B22" s="146"/>
      <c r="C22" s="147"/>
      <c r="D22" s="43" t="s">
        <v>117</v>
      </c>
      <c r="E22" s="43">
        <v>1</v>
      </c>
      <c r="F22" s="50">
        <f>Rēķini!I5</f>
        <v>6.77</v>
      </c>
      <c r="G22" s="50">
        <f>Rēķini!I5</f>
        <v>6.77</v>
      </c>
      <c r="I22" s="1"/>
    </row>
    <row r="23" spans="1:9" x14ac:dyDescent="0.25">
      <c r="A23" s="145" t="s">
        <v>100</v>
      </c>
      <c r="B23" s="146"/>
      <c r="C23" s="147"/>
      <c r="D23" s="43" t="s">
        <v>101</v>
      </c>
      <c r="E23" s="43">
        <v>1</v>
      </c>
      <c r="F23" s="50">
        <f>Rēķini!J5</f>
        <v>0.8</v>
      </c>
      <c r="G23" s="50">
        <f>Rēķini!J5</f>
        <v>0.8</v>
      </c>
      <c r="I23" s="1"/>
    </row>
    <row r="24" spans="1:9" ht="15" customHeight="1" x14ac:dyDescent="0.25">
      <c r="A24" s="145" t="s">
        <v>201</v>
      </c>
      <c r="B24" s="146"/>
      <c r="C24" s="147"/>
      <c r="D24" s="43" t="s">
        <v>112</v>
      </c>
      <c r="E24" s="43">
        <v>1</v>
      </c>
      <c r="F24" s="50">
        <f>Rēķini!K2</f>
        <v>7.11</v>
      </c>
      <c r="G24" s="50">
        <f>Rēķini!K5</f>
        <v>0</v>
      </c>
      <c r="I24" s="1"/>
    </row>
    <row r="25" spans="1:9" x14ac:dyDescent="0.25">
      <c r="A25" s="145" t="s">
        <v>102</v>
      </c>
      <c r="B25" s="146"/>
      <c r="C25" s="147"/>
      <c r="D25" s="43" t="s">
        <v>117</v>
      </c>
      <c r="E25" s="43">
        <v>1</v>
      </c>
      <c r="F25" s="50">
        <f>Rēķini!L5</f>
        <v>5.62</v>
      </c>
      <c r="G25" s="50">
        <f>Rēķini!L5</f>
        <v>5.62</v>
      </c>
      <c r="I25" s="1"/>
    </row>
    <row r="26" spans="1:9" ht="15.6" x14ac:dyDescent="0.25">
      <c r="A26" s="145" t="s">
        <v>320</v>
      </c>
      <c r="B26" s="146"/>
      <c r="C26" s="147"/>
      <c r="D26" s="52" t="s">
        <v>103</v>
      </c>
      <c r="E26" s="43">
        <f>Rēķini!C5</f>
        <v>13.9</v>
      </c>
      <c r="F26" s="54">
        <f>Rekvizīti!C35</f>
        <v>0.26750000000000002</v>
      </c>
      <c r="G26" s="50">
        <f>Rēķini!M5</f>
        <v>3.72</v>
      </c>
      <c r="I26" s="1"/>
    </row>
    <row r="27" spans="1:9" x14ac:dyDescent="0.25">
      <c r="A27" s="145" t="s">
        <v>321</v>
      </c>
      <c r="B27" s="146"/>
      <c r="C27" s="147"/>
      <c r="D27" s="52" t="s">
        <v>280</v>
      </c>
      <c r="E27" s="43">
        <v>164.892</v>
      </c>
      <c r="F27" s="54">
        <f>Rekvizīti!C36</f>
        <v>0.1053</v>
      </c>
      <c r="G27" s="50">
        <f>Rēķini!N5</f>
        <v>17.37</v>
      </c>
      <c r="I27" s="1"/>
    </row>
    <row r="28" spans="1:9" ht="16.2" thickBot="1" x14ac:dyDescent="0.3">
      <c r="A28" s="160" t="s">
        <v>104</v>
      </c>
      <c r="B28" s="161"/>
      <c r="C28" s="162"/>
      <c r="D28" s="60" t="s">
        <v>103</v>
      </c>
      <c r="E28" s="45">
        <v>13.9</v>
      </c>
      <c r="F28" s="46">
        <f>Rēķini!O2</f>
        <v>3.6999999999999998E-2</v>
      </c>
      <c r="G28" s="51">
        <f>ROUND(E28*F28,2)</f>
        <v>0.51</v>
      </c>
      <c r="I28" s="1"/>
    </row>
    <row r="29" spans="1:9" ht="13.8" hidden="1" thickBot="1" x14ac:dyDescent="0.3">
      <c r="C29" s="47"/>
      <c r="D29" s="163" t="s">
        <v>288</v>
      </c>
      <c r="E29" s="163"/>
      <c r="F29" s="164"/>
      <c r="G29" s="56">
        <f>SUM(G17:G28)</f>
        <v>56.637999999999998</v>
      </c>
      <c r="H29" s="1"/>
    </row>
    <row r="30" spans="1:9" ht="13.8" hidden="1" thickBot="1" x14ac:dyDescent="0.3">
      <c r="C30" s="47"/>
      <c r="D30" s="57"/>
      <c r="E30" s="57"/>
      <c r="F30" s="57" t="s">
        <v>289</v>
      </c>
      <c r="G30" s="59">
        <v>0</v>
      </c>
      <c r="H30" s="1"/>
    </row>
    <row r="31" spans="1:9" ht="13.8" thickBot="1" x14ac:dyDescent="0.3">
      <c r="C31" s="47"/>
      <c r="F31" s="57" t="s">
        <v>105</v>
      </c>
      <c r="G31" s="102">
        <f>G29-G30</f>
        <v>56.637999999999998</v>
      </c>
      <c r="H31" s="1"/>
    </row>
    <row r="33" spans="1:1" x14ac:dyDescent="0.25">
      <c r="A33" s="40" t="str">
        <f>_xlfn.TEXTJOIN(" ",TRUE,"Summa vārdiem: ",Rēķini!U5)</f>
        <v>Summa vārdiem:  Piecdesmit seši eiro, 64 centi</v>
      </c>
    </row>
    <row r="36" spans="1:1" x14ac:dyDescent="0.25">
      <c r="A36" s="41" t="str">
        <f>_xlfn.TEXTJOIN(" ",TRUE,"* Siltumenerģijas patēriņš", Rēķini!$D$30, "kopā: ",Rekvizīti!$C$19,"Mwh (",Rēķini!$E$32, "Eur)")</f>
        <v>* Siltumenerģijas patēriņš martā kopā:  7,81 Mwh ( 729,3 Eur)</v>
      </c>
    </row>
    <row r="37" spans="1:1" x14ac:dyDescent="0.25">
      <c r="A37" s="41" t="str">
        <f>_xlfn.TEXTJOIN(" ",TRUE,"** Atkritumu izvešana kopā:",Rēķini!$E$33,"EUR(1x nedēļā), aprēķināts uz 16 iedzīvotājiem")</f>
        <v>** Atkritumu izvešana kopā: 113,72 EUR(1x nedēļā), aprēķināts uz 16 iedzīvotājiem</v>
      </c>
    </row>
    <row r="38" spans="1:1" x14ac:dyDescent="0.25">
      <c r="A38" s="41" t="str">
        <f>_xlfn.TEXTJOIN(" ",TRUE,"*** Koplietošanas elektrības patēriņš", Rēķini!$D$30, "kopā: ",Rekvizīti!$C$20,"Kwh (", Rekvizīti!$C$9, "Eur)")</f>
        <v>*** Koplietošanas elektrības patēriņš martā kopā:  278,46 Kwh ( 67,43 Eur)</v>
      </c>
    </row>
    <row r="39" spans="1:1" hidden="1" x14ac:dyDescent="0.25">
      <c r="A39" s="41" t="s">
        <v>281</v>
      </c>
    </row>
    <row r="40" spans="1:1" x14ac:dyDescent="0.25">
      <c r="A40" s="41"/>
    </row>
    <row r="42" spans="1:1" ht="13.8" x14ac:dyDescent="0.25">
      <c r="A42" s="48"/>
    </row>
    <row r="43" spans="1:1" x14ac:dyDescent="0.25">
      <c r="A43" s="41"/>
    </row>
    <row r="44" spans="1:1" x14ac:dyDescent="0.25">
      <c r="A44" s="41" t="s">
        <v>106</v>
      </c>
    </row>
    <row r="45" spans="1:1" x14ac:dyDescent="0.25">
      <c r="A45" s="41"/>
    </row>
  </sheetData>
  <mergeCells count="19">
    <mergeCell ref="A18:C18"/>
    <mergeCell ref="A27:C27"/>
    <mergeCell ref="A28:C28"/>
    <mergeCell ref="D29:F29"/>
    <mergeCell ref="A2:C2"/>
    <mergeCell ref="A26:C26"/>
    <mergeCell ref="A25:C25"/>
    <mergeCell ref="A24:C24"/>
    <mergeCell ref="A23:C23"/>
    <mergeCell ref="G15:G16"/>
    <mergeCell ref="A19:C19"/>
    <mergeCell ref="A20:C20"/>
    <mergeCell ref="A21:C21"/>
    <mergeCell ref="A22:C22"/>
    <mergeCell ref="F15:F16"/>
    <mergeCell ref="A15:C16"/>
    <mergeCell ref="D15:D16"/>
    <mergeCell ref="E15:E16"/>
    <mergeCell ref="A17:C17"/>
  </mergeCells>
  <pageMargins left="0.7" right="0.7" top="0.75" bottom="0.75" header="0.3" footer="0.3"/>
  <pageSetup paperSize="9"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0B42-3851-4BF0-B106-4F12B52FC139}">
  <sheetPr codeName="Sheet6"/>
  <dimension ref="A2:G42"/>
  <sheetViews>
    <sheetView workbookViewId="0">
      <selection activeCell="E28" sqref="E28"/>
    </sheetView>
  </sheetViews>
  <sheetFormatPr defaultRowHeight="13.2" x14ac:dyDescent="0.25"/>
  <cols>
    <col min="1" max="1" width="28.109375" customWidth="1"/>
    <col min="2" max="2" width="10.5546875" customWidth="1"/>
    <col min="3" max="3" width="8" customWidth="1"/>
    <col min="4" max="4" width="12.6640625" customWidth="1"/>
    <col min="7" max="7" width="11.5546875" customWidth="1"/>
  </cols>
  <sheetData>
    <row r="2" spans="1:7" x14ac:dyDescent="0.25">
      <c r="A2" s="165">
        <f ca="1">TODAY()</f>
        <v>46135</v>
      </c>
      <c r="B2" s="165"/>
      <c r="C2" s="165"/>
      <c r="E2" s="16" t="str">
        <f>_xlfn.TEXTJOIN("",TRUE,"Rēķins Nr. B",Rēķini!A1,Rēķini!D2,"0",Rekvizīti!C3+1,)</f>
        <v>Rēķins Nr. B2026040437</v>
      </c>
      <c r="G2" s="39"/>
    </row>
    <row r="3" spans="1:7" x14ac:dyDescent="0.25">
      <c r="D3" s="39"/>
    </row>
    <row r="4" spans="1:7" x14ac:dyDescent="0.25">
      <c r="A4" s="40" t="s">
        <v>218</v>
      </c>
      <c r="B4" s="40"/>
      <c r="E4" s="40" t="s">
        <v>273</v>
      </c>
    </row>
    <row r="5" spans="1:7" x14ac:dyDescent="0.25">
      <c r="A5" s="40" t="s">
        <v>219</v>
      </c>
      <c r="B5" s="41"/>
      <c r="E5" s="41" t="s">
        <v>223</v>
      </c>
    </row>
    <row r="6" spans="1:7" x14ac:dyDescent="0.25">
      <c r="A6" s="40" t="s">
        <v>220</v>
      </c>
      <c r="B6" s="40"/>
      <c r="D6" s="41"/>
    </row>
    <row r="7" spans="1:7" x14ac:dyDescent="0.25">
      <c r="A7" s="40" t="s">
        <v>221</v>
      </c>
      <c r="B7" s="40"/>
      <c r="D7" s="41"/>
    </row>
    <row r="8" spans="1:7" x14ac:dyDescent="0.25">
      <c r="A8" s="40" t="s">
        <v>222</v>
      </c>
      <c r="B8" s="40"/>
      <c r="D8" s="41"/>
    </row>
    <row r="10" spans="1:7" x14ac:dyDescent="0.25">
      <c r="A10" s="53" t="str">
        <f>_xlfn.TEXTJOIN("",TRUE,"Komunālo pakalpojumu sniegšanas periods: ","2025. gada ",Rēķini!$D$1)</f>
        <v>Komunālo pakalpojumu sniegšanas periods: 2025. gada MARTS</v>
      </c>
    </row>
    <row r="11" spans="1:7" x14ac:dyDescent="0.25">
      <c r="A11" s="53" t="str">
        <f>_xlfn.TEXTJOIN("",TRUE,"Apsaimniekošana, remontdarbu fonds: ",Rēķini!$A$1,". gada ",Rēķini!$E$1)</f>
        <v>Apsaimniekošana, remontdarbu fonds: 2026. gada APRĪLIS</v>
      </c>
    </row>
    <row r="13" spans="1:7" x14ac:dyDescent="0.25">
      <c r="A13" s="39" t="s">
        <v>91</v>
      </c>
      <c r="B13" s="42">
        <f>DATE(Rēķini!A1,Rēķini!$D$2,30)</f>
        <v>46142</v>
      </c>
    </row>
    <row r="14" spans="1:7" ht="13.8" thickBot="1" x14ac:dyDescent="0.3"/>
    <row r="15" spans="1:7" x14ac:dyDescent="0.25">
      <c r="A15" s="151" t="s">
        <v>92</v>
      </c>
      <c r="B15" s="152"/>
      <c r="C15" s="153"/>
      <c r="D15" s="143" t="s">
        <v>93</v>
      </c>
      <c r="E15" s="143" t="s">
        <v>94</v>
      </c>
      <c r="F15" s="143" t="s">
        <v>95</v>
      </c>
      <c r="G15" s="143" t="s">
        <v>96</v>
      </c>
    </row>
    <row r="16" spans="1:7" ht="13.8" thickBot="1" x14ac:dyDescent="0.3">
      <c r="A16" s="154"/>
      <c r="B16" s="155"/>
      <c r="C16" s="156"/>
      <c r="D16" s="144"/>
      <c r="E16" s="144"/>
      <c r="F16" s="144"/>
      <c r="G16" s="144"/>
    </row>
    <row r="17" spans="1:7" ht="15.6" x14ac:dyDescent="0.25">
      <c r="A17" s="157" t="s">
        <v>213</v>
      </c>
      <c r="B17" s="158"/>
      <c r="C17" s="159"/>
      <c r="D17" s="52" t="s">
        <v>103</v>
      </c>
      <c r="E17" s="99">
        <v>41.9</v>
      </c>
      <c r="F17" s="100">
        <v>0.60440000000000005</v>
      </c>
      <c r="G17" s="101">
        <f>ROUND(E17*F17,2)</f>
        <v>25.32</v>
      </c>
    </row>
    <row r="18" spans="1:7" ht="15.6" x14ac:dyDescent="0.25">
      <c r="A18" s="145" t="s">
        <v>242</v>
      </c>
      <c r="B18" s="146"/>
      <c r="C18" s="147"/>
      <c r="D18" s="52" t="s">
        <v>103</v>
      </c>
      <c r="E18" s="99">
        <v>41.9</v>
      </c>
      <c r="F18" s="100">
        <v>0.31559999999999999</v>
      </c>
      <c r="G18" s="101">
        <f>ROUND(E18*F18,2)</f>
        <v>13.22</v>
      </c>
    </row>
    <row r="19" spans="1:7" x14ac:dyDescent="0.25">
      <c r="A19" s="145" t="s">
        <v>97</v>
      </c>
      <c r="B19" s="146"/>
      <c r="C19" s="147"/>
      <c r="D19" s="43"/>
      <c r="E19" s="43"/>
      <c r="F19" s="44"/>
      <c r="G19" s="50"/>
    </row>
    <row r="20" spans="1:7" ht="15.75" customHeight="1" x14ac:dyDescent="0.25">
      <c r="A20" s="148" t="str">
        <f>_xlfn.TEXTJOIN(" ",TRUE,"Aukstā ūdens skaitītājs (rād:",Ūdens!J3,"-", Ūdens!K3, ")")</f>
        <v>Aukstā ūdens skaitītājs (rād: 5,8 - 7,02 )</v>
      </c>
      <c r="B20" s="149"/>
      <c r="C20" s="150"/>
      <c r="D20" s="43" t="s">
        <v>98</v>
      </c>
      <c r="E20" s="43">
        <f>Ūdens!R3</f>
        <v>1.2199999999999998</v>
      </c>
      <c r="F20" s="50">
        <f>Rēķini!G2</f>
        <v>3.2307000000000001</v>
      </c>
      <c r="G20" s="50">
        <f>ROUND(Ūdens!X3,2)</f>
        <v>3.94</v>
      </c>
    </row>
    <row r="21" spans="1:7" ht="15.75" customHeight="1" x14ac:dyDescent="0.25">
      <c r="A21" s="148" t="str">
        <f>_xlfn.TEXTJOIN(" ",TRUE,"Karstā ūdens skaitītājs (rād:",Ūdens!L3,"-", Ūdens!M3, ")")</f>
        <v>Karstā ūdens skaitītājs (rād: 0,99 - 1,19 )</v>
      </c>
      <c r="B21" s="149"/>
      <c r="C21" s="150"/>
      <c r="D21" s="43" t="s">
        <v>98</v>
      </c>
      <c r="E21" s="43">
        <f>Ūdens!S3</f>
        <v>0.19999999999999996</v>
      </c>
      <c r="F21" s="44">
        <f>Rēķini!H2</f>
        <v>6.9107000000000003</v>
      </c>
      <c r="G21" s="50">
        <f>ROUND(Ūdens!Y3,2)</f>
        <v>1.38</v>
      </c>
    </row>
    <row r="22" spans="1:7" x14ac:dyDescent="0.25">
      <c r="A22" s="145" t="s">
        <v>99</v>
      </c>
      <c r="B22" s="146"/>
      <c r="C22" s="147"/>
      <c r="D22" s="43" t="s">
        <v>117</v>
      </c>
      <c r="E22" s="43">
        <v>1</v>
      </c>
      <c r="F22" s="50">
        <f>Rēķini!I6</f>
        <v>6.77</v>
      </c>
      <c r="G22" s="50">
        <f>Rēķini!I6</f>
        <v>6.77</v>
      </c>
    </row>
    <row r="23" spans="1:7" x14ac:dyDescent="0.25">
      <c r="A23" s="145" t="s">
        <v>100</v>
      </c>
      <c r="B23" s="146"/>
      <c r="C23" s="147"/>
      <c r="D23" s="43" t="s">
        <v>101</v>
      </c>
      <c r="E23" s="43">
        <v>1</v>
      </c>
      <c r="F23" s="50">
        <f>Rēķini!J6</f>
        <v>0.8</v>
      </c>
      <c r="G23" s="50">
        <f>Rēķini!J6</f>
        <v>0.8</v>
      </c>
    </row>
    <row r="24" spans="1:7" x14ac:dyDescent="0.25">
      <c r="A24" s="145" t="s">
        <v>201</v>
      </c>
      <c r="B24" s="146"/>
      <c r="C24" s="147"/>
      <c r="D24" s="43" t="s">
        <v>112</v>
      </c>
      <c r="E24" s="43">
        <v>1</v>
      </c>
      <c r="F24" s="50">
        <f>Rēķini!K2</f>
        <v>7.11</v>
      </c>
      <c r="G24" s="50">
        <f>Rēķini!K6</f>
        <v>7.11</v>
      </c>
    </row>
    <row r="25" spans="1:7" x14ac:dyDescent="0.25">
      <c r="A25" s="145" t="s">
        <v>102</v>
      </c>
      <c r="B25" s="146"/>
      <c r="C25" s="147"/>
      <c r="D25" s="43" t="s">
        <v>117</v>
      </c>
      <c r="E25" s="43">
        <v>1</v>
      </c>
      <c r="F25" s="50">
        <f>Rēķini!L6</f>
        <v>5.62</v>
      </c>
      <c r="G25" s="50">
        <f>Rēķini!L6</f>
        <v>5.62</v>
      </c>
    </row>
    <row r="26" spans="1:7" ht="15.75" customHeight="1" x14ac:dyDescent="0.25">
      <c r="A26" s="145" t="s">
        <v>320</v>
      </c>
      <c r="B26" s="146"/>
      <c r="C26" s="147"/>
      <c r="D26" s="52" t="s">
        <v>103</v>
      </c>
      <c r="E26" s="43">
        <v>41.9</v>
      </c>
      <c r="F26" s="54">
        <f>Rekvizīti!C35</f>
        <v>0.26750000000000002</v>
      </c>
      <c r="G26" s="50">
        <f>Rēķini!M6</f>
        <v>11.21</v>
      </c>
    </row>
    <row r="27" spans="1:7" ht="15.75" customHeight="1" x14ac:dyDescent="0.25">
      <c r="A27" s="145" t="s">
        <v>321</v>
      </c>
      <c r="B27" s="146"/>
      <c r="C27" s="147"/>
      <c r="D27" s="52" t="s">
        <v>280</v>
      </c>
      <c r="E27" s="43">
        <v>652.09199999999998</v>
      </c>
      <c r="F27" s="54">
        <f>ROUND(Rekvizīti!C36,4)</f>
        <v>0.1053</v>
      </c>
      <c r="G27" s="50">
        <f>Rēķini!N6</f>
        <v>68.69</v>
      </c>
    </row>
    <row r="28" spans="1:7" ht="16.2" thickBot="1" x14ac:dyDescent="0.3">
      <c r="A28" s="160" t="s">
        <v>104</v>
      </c>
      <c r="B28" s="161"/>
      <c r="C28" s="162"/>
      <c r="D28" s="60" t="s">
        <v>103</v>
      </c>
      <c r="E28" s="45">
        <v>41.9</v>
      </c>
      <c r="F28" s="46">
        <f>Rēķini!O2</f>
        <v>3.6999999999999998E-2</v>
      </c>
      <c r="G28" s="51">
        <f>Rēķini!O6</f>
        <v>1.55</v>
      </c>
    </row>
    <row r="29" spans="1:7" ht="13.8" thickBot="1" x14ac:dyDescent="0.3">
      <c r="C29" s="47"/>
      <c r="D29" s="163" t="s">
        <v>105</v>
      </c>
      <c r="E29" s="163"/>
      <c r="F29" s="164"/>
      <c r="G29" s="56">
        <f>SUM(G17:G28)</f>
        <v>145.61000000000001</v>
      </c>
    </row>
    <row r="31" spans="1:7" x14ac:dyDescent="0.25">
      <c r="A31" s="40" t="str">
        <f>_xlfn.TEXTJOIN(" ",TRUE,"Summa vārdiem: ",Rēķini!U6)</f>
        <v>Summa vārdiem:  Viens simts četrdesmit pieci eiro, 61 cents</v>
      </c>
    </row>
    <row r="34" spans="1:1" x14ac:dyDescent="0.25">
      <c r="A34" s="41" t="str">
        <f>_xlfn.TEXTJOIN(" ",TRUE,"* Siltumenerģijas patēriņš", Rēķini!$D$30, "kopā: ",Rekvizīti!$C$19,"Mwh (",Rēķini!$E$32, "Eur)")</f>
        <v>* Siltumenerģijas patēriņš martā kopā:  7,81 Mwh ( 729,3 Eur)</v>
      </c>
    </row>
    <row r="35" spans="1:1" x14ac:dyDescent="0.25">
      <c r="A35" s="41" t="str">
        <f>_xlfn.TEXTJOIN(" ",TRUE,"** Atkritumu izvešana kopā:",Rēķini!$E$33,"EUR(1x nedēļā), aprēķināts uz 16 iedzīvotājiem")</f>
        <v>** Atkritumu izvešana kopā: 113,72 EUR(1x nedēļā), aprēķināts uz 16 iedzīvotājiem</v>
      </c>
    </row>
    <row r="36" spans="1:1" x14ac:dyDescent="0.25">
      <c r="A36" s="41" t="str">
        <f>_xlfn.TEXTJOIN(" ",TRUE,"*** Koplietošanas elektrības patēriņš", Rēķini!$D$30, "kopā: ",Rekvizīti!$C$20,"Kwh (", Rekvizīti!$C$9, "Eur)")</f>
        <v>*** Koplietošanas elektrības patēriņš martā kopā:  278,46 Kwh ( 67,43 Eur)</v>
      </c>
    </row>
    <row r="37" spans="1:1" hidden="1" x14ac:dyDescent="0.25">
      <c r="A37" s="41" t="s">
        <v>281</v>
      </c>
    </row>
    <row r="38" spans="1:1" x14ac:dyDescent="0.25">
      <c r="A38" s="41"/>
    </row>
    <row r="39" spans="1:1" x14ac:dyDescent="0.25">
      <c r="A39" s="41"/>
    </row>
    <row r="40" spans="1:1" ht="13.8" x14ac:dyDescent="0.25">
      <c r="A40" s="48"/>
    </row>
    <row r="41" spans="1:1" x14ac:dyDescent="0.25">
      <c r="A41" s="41"/>
    </row>
    <row r="42" spans="1:1" x14ac:dyDescent="0.25">
      <c r="A42" s="41" t="s">
        <v>106</v>
      </c>
    </row>
  </sheetData>
  <mergeCells count="19">
    <mergeCell ref="A19:C19"/>
    <mergeCell ref="A20:C20"/>
    <mergeCell ref="A21:C21"/>
    <mergeCell ref="A22:C22"/>
    <mergeCell ref="F15:F16"/>
    <mergeCell ref="A18:C18"/>
    <mergeCell ref="A2:C2"/>
    <mergeCell ref="A15:C16"/>
    <mergeCell ref="D15:D16"/>
    <mergeCell ref="E15:E16"/>
    <mergeCell ref="A17:C17"/>
    <mergeCell ref="G15:G16"/>
    <mergeCell ref="A23:C23"/>
    <mergeCell ref="A25:C25"/>
    <mergeCell ref="A26:C26"/>
    <mergeCell ref="A28:C28"/>
    <mergeCell ref="D29:F29"/>
    <mergeCell ref="A24:C24"/>
    <mergeCell ref="A27:C27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A80AD-F370-4463-BB17-08BAE8F309AB}">
  <sheetPr codeName="Sheet8"/>
  <dimension ref="A2:I46"/>
  <sheetViews>
    <sheetView workbookViewId="0">
      <selection activeCell="E30" sqref="E30"/>
    </sheetView>
  </sheetViews>
  <sheetFormatPr defaultRowHeight="13.2" x14ac:dyDescent="0.25"/>
  <cols>
    <col min="1" max="1" width="28.109375" customWidth="1"/>
    <col min="2" max="2" width="10.5546875" customWidth="1"/>
    <col min="3" max="3" width="8" customWidth="1"/>
    <col min="4" max="4" width="9.44140625" customWidth="1"/>
    <col min="7" max="7" width="13" customWidth="1"/>
  </cols>
  <sheetData>
    <row r="2" spans="1:7" x14ac:dyDescent="0.25">
      <c r="A2" s="165">
        <f ca="1">TODAY()</f>
        <v>46135</v>
      </c>
      <c r="B2" s="165"/>
      <c r="C2" s="165"/>
      <c r="E2" s="16" t="str">
        <f>_xlfn.TEXTJOIN("",TRUE,"Rēķins Nr. B",Rēķini!A1,Rēķini!D2,"0",Rekvizīti!C3+2)</f>
        <v>Rēķins Nr. B2026040438</v>
      </c>
      <c r="G2" s="39"/>
    </row>
    <row r="3" spans="1:7" x14ac:dyDescent="0.25">
      <c r="D3" s="39"/>
    </row>
    <row r="4" spans="1:7" x14ac:dyDescent="0.25">
      <c r="A4" s="40" t="s">
        <v>218</v>
      </c>
      <c r="B4" s="40"/>
      <c r="E4" s="40" t="s">
        <v>233</v>
      </c>
    </row>
    <row r="5" spans="1:7" x14ac:dyDescent="0.25">
      <c r="A5" s="40" t="s">
        <v>219</v>
      </c>
      <c r="B5" s="41"/>
      <c r="E5" s="41" t="s">
        <v>224</v>
      </c>
    </row>
    <row r="6" spans="1:7" x14ac:dyDescent="0.25">
      <c r="A6" s="40" t="s">
        <v>220</v>
      </c>
      <c r="B6" s="40"/>
      <c r="D6" s="41"/>
    </row>
    <row r="7" spans="1:7" x14ac:dyDescent="0.25">
      <c r="A7" s="40" t="s">
        <v>221</v>
      </c>
      <c r="B7" s="40"/>
      <c r="D7" s="41"/>
    </row>
    <row r="8" spans="1:7" x14ac:dyDescent="0.25">
      <c r="A8" s="40" t="s">
        <v>222</v>
      </c>
      <c r="B8" s="40"/>
      <c r="D8" s="41"/>
    </row>
    <row r="10" spans="1:7" x14ac:dyDescent="0.25">
      <c r="A10" s="53" t="str">
        <f>_xlfn.TEXTJOIN("",TRUE,"Komunālo pakalpojumu sniegšanas periods: ","2025. gada ",Rēķini!$D$1)</f>
        <v>Komunālo pakalpojumu sniegšanas periods: 2025. gada MARTS</v>
      </c>
    </row>
    <row r="11" spans="1:7" x14ac:dyDescent="0.25">
      <c r="A11" s="53" t="str">
        <f>_xlfn.TEXTJOIN("",TRUE,"Apsaimniekošana, remontdarbu fonds: ",Rēķini!$A$1,". gada ",Rēķini!$E$1)</f>
        <v>Apsaimniekošana, remontdarbu fonds: 2026. gada APRĪLIS</v>
      </c>
    </row>
    <row r="13" spans="1:7" x14ac:dyDescent="0.25">
      <c r="A13" s="39" t="s">
        <v>91</v>
      </c>
      <c r="B13" s="42">
        <f>DATE(Rēķini!A1,Rēķini!$D$2,30)</f>
        <v>46142</v>
      </c>
    </row>
    <row r="14" spans="1:7" ht="13.8" thickBot="1" x14ac:dyDescent="0.3"/>
    <row r="15" spans="1:7" x14ac:dyDescent="0.25">
      <c r="A15" s="151" t="s">
        <v>92</v>
      </c>
      <c r="B15" s="152"/>
      <c r="C15" s="153"/>
      <c r="D15" s="143" t="s">
        <v>93</v>
      </c>
      <c r="E15" s="143" t="s">
        <v>94</v>
      </c>
      <c r="F15" s="143" t="s">
        <v>95</v>
      </c>
      <c r="G15" s="143" t="s">
        <v>96</v>
      </c>
    </row>
    <row r="16" spans="1:7" ht="13.8" thickBot="1" x14ac:dyDescent="0.3">
      <c r="A16" s="154"/>
      <c r="B16" s="155"/>
      <c r="C16" s="156"/>
      <c r="D16" s="144"/>
      <c r="E16" s="144"/>
      <c r="F16" s="144"/>
      <c r="G16" s="144"/>
    </row>
    <row r="17" spans="1:7" ht="15.6" x14ac:dyDescent="0.25">
      <c r="A17" s="167" t="s">
        <v>213</v>
      </c>
      <c r="B17" s="168"/>
      <c r="C17" s="169"/>
      <c r="D17" s="52" t="s">
        <v>103</v>
      </c>
      <c r="E17" s="50">
        <v>111.1</v>
      </c>
      <c r="F17" s="50">
        <v>0.60440000000000005</v>
      </c>
      <c r="G17" s="50">
        <f>ROUND(E17*F17,2)</f>
        <v>67.150000000000006</v>
      </c>
    </row>
    <row r="18" spans="1:7" ht="15.6" x14ac:dyDescent="0.25">
      <c r="A18" s="118" t="s">
        <v>242</v>
      </c>
      <c r="B18" s="119"/>
      <c r="C18" s="120"/>
      <c r="D18" s="43" t="s">
        <v>103</v>
      </c>
      <c r="E18" s="50">
        <v>111.1</v>
      </c>
      <c r="F18" s="50">
        <v>0.31559999999999999</v>
      </c>
      <c r="G18" s="50">
        <f>ROUND(E18*F18,2)</f>
        <v>35.06</v>
      </c>
    </row>
    <row r="19" spans="1:7" x14ac:dyDescent="0.25">
      <c r="A19" s="145" t="s">
        <v>97</v>
      </c>
      <c r="B19" s="146"/>
      <c r="C19" s="147"/>
      <c r="D19" s="43"/>
      <c r="E19" s="43"/>
      <c r="F19" s="44"/>
      <c r="G19" s="50"/>
    </row>
    <row r="20" spans="1:7" ht="15.75" customHeight="1" x14ac:dyDescent="0.25">
      <c r="A20" s="148" t="str">
        <f>_xlfn.TEXTJOIN(" ",TRUE,"Aukstā ūdens skaitītājs virt. (rād:",Ūdens!J4,"-", Ūdens!K4, ")")</f>
        <v>Aukstā ūdens skaitītājs virt. (rād: 0,77 - 1,29 )</v>
      </c>
      <c r="B20" s="149"/>
      <c r="C20" s="150"/>
      <c r="D20" s="43" t="s">
        <v>98</v>
      </c>
      <c r="E20" s="43">
        <f>Ūdens!R4</f>
        <v>0.52</v>
      </c>
      <c r="F20" s="50">
        <f>Rēķini!G2</f>
        <v>3.2307000000000001</v>
      </c>
      <c r="G20" s="50">
        <f>Ūdens!X4</f>
        <v>1.68</v>
      </c>
    </row>
    <row r="21" spans="1:7" ht="15.75" customHeight="1" x14ac:dyDescent="0.25">
      <c r="A21" s="148" t="str">
        <f>_xlfn.TEXTJOIN(" ",TRUE,"Karstā ūdens skaitītājs virt. (rād:",Ūdens!L4,"-", Ūdens!M4, ")")</f>
        <v>Karstā ūdens skaitītājs virt. (rād: 0,25 - 0,31 )</v>
      </c>
      <c r="B21" s="149"/>
      <c r="C21" s="150"/>
      <c r="D21" s="43" t="s">
        <v>98</v>
      </c>
      <c r="E21" s="43">
        <f>Ūdens!S4</f>
        <v>0.06</v>
      </c>
      <c r="F21" s="44">
        <f>Rēķini!H2</f>
        <v>6.9107000000000003</v>
      </c>
      <c r="G21" s="50">
        <f>Ūdens!Y4</f>
        <v>0.41</v>
      </c>
    </row>
    <row r="22" spans="1:7" ht="15.75" customHeight="1" x14ac:dyDescent="0.25">
      <c r="A22" s="148" t="str">
        <f>_xlfn.TEXTJOIN(" ",TRUE,"Aukstā ūdens skaitītājs WC (rād:",Ūdens!N4,"-", Ūdens!O4, ")")</f>
        <v>Aukstā ūdens skaitītājs WC (rād: 0,01 - 0,06 )</v>
      </c>
      <c r="B22" s="149"/>
      <c r="C22" s="150"/>
      <c r="D22" s="43" t="s">
        <v>98</v>
      </c>
      <c r="E22" s="43">
        <f>Ūdens!T4</f>
        <v>4.9999999999999996E-2</v>
      </c>
      <c r="F22" s="50">
        <f>Rēķini!G2</f>
        <v>3.2307000000000001</v>
      </c>
      <c r="G22" s="50">
        <f>Ūdens!Z4</f>
        <v>0.16</v>
      </c>
    </row>
    <row r="23" spans="1:7" ht="15.75" customHeight="1" x14ac:dyDescent="0.25">
      <c r="A23" s="148" t="str">
        <f>_xlfn.TEXTJOIN(" ",TRUE,"Karstā ūdens skaitītājs WC (rād:",Ūdens!P4,"-", Ūdens!Q4, ")")</f>
        <v>Karstā ūdens skaitītājs WC (rād: 0,07 - 0,15 )</v>
      </c>
      <c r="B23" s="149"/>
      <c r="C23" s="150"/>
      <c r="D23" s="43" t="s">
        <v>98</v>
      </c>
      <c r="E23" s="43">
        <f>Ūdens!U4</f>
        <v>7.9999999999999988E-2</v>
      </c>
      <c r="F23" s="44">
        <f>Rēķini!H2</f>
        <v>6.9107000000000003</v>
      </c>
      <c r="G23" s="50">
        <f>Ūdens!AA4</f>
        <v>0.55000000000000004</v>
      </c>
    </row>
    <row r="24" spans="1:7" x14ac:dyDescent="0.25">
      <c r="A24" s="145" t="s">
        <v>99</v>
      </c>
      <c r="B24" s="146"/>
      <c r="C24" s="147"/>
      <c r="D24" s="43" t="s">
        <v>114</v>
      </c>
      <c r="E24" s="43">
        <v>1</v>
      </c>
      <c r="F24" s="50">
        <f>Rēķini!I7</f>
        <v>16.920000000000002</v>
      </c>
      <c r="G24" s="50">
        <f>Rēķini!I7</f>
        <v>16.920000000000002</v>
      </c>
    </row>
    <row r="25" spans="1:7" x14ac:dyDescent="0.25">
      <c r="A25" s="145" t="s">
        <v>100</v>
      </c>
      <c r="B25" s="146"/>
      <c r="C25" s="147"/>
      <c r="D25" s="43" t="s">
        <v>101</v>
      </c>
      <c r="E25" s="43">
        <v>1</v>
      </c>
      <c r="F25" s="50">
        <f>Rēķini!J7</f>
        <v>0.8</v>
      </c>
      <c r="G25" s="50">
        <f>Rēķini!J7</f>
        <v>0.8</v>
      </c>
    </row>
    <row r="26" spans="1:7" x14ac:dyDescent="0.25">
      <c r="A26" s="145" t="s">
        <v>111</v>
      </c>
      <c r="B26" s="146"/>
      <c r="C26" s="147"/>
      <c r="D26" s="43" t="s">
        <v>112</v>
      </c>
      <c r="E26" s="43">
        <v>1</v>
      </c>
      <c r="F26" s="50">
        <f>Rēķini!K2</f>
        <v>7.11</v>
      </c>
      <c r="G26" s="50">
        <f>E26*F26</f>
        <v>7.11</v>
      </c>
    </row>
    <row r="27" spans="1:7" x14ac:dyDescent="0.25">
      <c r="A27" s="145" t="s">
        <v>102</v>
      </c>
      <c r="B27" s="146"/>
      <c r="C27" s="147"/>
      <c r="D27" s="43" t="s">
        <v>114</v>
      </c>
      <c r="E27" s="43">
        <v>1</v>
      </c>
      <c r="F27" s="50">
        <f>Rēķini!L7</f>
        <v>5.62</v>
      </c>
      <c r="G27" s="50">
        <f>Rēķini!L7</f>
        <v>5.62</v>
      </c>
    </row>
    <row r="28" spans="1:7" ht="15.75" customHeight="1" x14ac:dyDescent="0.25">
      <c r="A28" s="145" t="s">
        <v>320</v>
      </c>
      <c r="B28" s="146"/>
      <c r="C28" s="147"/>
      <c r="D28" s="52" t="s">
        <v>103</v>
      </c>
      <c r="E28" s="43">
        <v>111.1</v>
      </c>
      <c r="F28" s="54">
        <f>Rekvizīti!C33</f>
        <v>0.24759999999999999</v>
      </c>
      <c r="G28" s="50">
        <f>Rēķini!M7</f>
        <v>27.51</v>
      </c>
    </row>
    <row r="29" spans="1:7" ht="15.75" customHeight="1" x14ac:dyDescent="0.25">
      <c r="A29" s="145" t="s">
        <v>321</v>
      </c>
      <c r="B29" s="146"/>
      <c r="C29" s="147"/>
      <c r="D29" s="52" t="s">
        <v>280</v>
      </c>
      <c r="E29" s="43">
        <v>530.08199999999999</v>
      </c>
      <c r="F29" s="54">
        <f>Rekvizīti!C34</f>
        <v>9.7500000000000003E-2</v>
      </c>
      <c r="G29" s="50">
        <f>Rēķini!N7</f>
        <v>51.68</v>
      </c>
    </row>
    <row r="30" spans="1:7" ht="16.2" thickBot="1" x14ac:dyDescent="0.3">
      <c r="A30" s="160" t="s">
        <v>104</v>
      </c>
      <c r="B30" s="161"/>
      <c r="C30" s="162"/>
      <c r="D30" s="60" t="s">
        <v>103</v>
      </c>
      <c r="E30" s="45">
        <v>111.1</v>
      </c>
      <c r="F30" s="46">
        <f>Rēķini!O2</f>
        <v>3.6999999999999998E-2</v>
      </c>
      <c r="G30" s="50">
        <f>Rēķini!O7</f>
        <v>4.1100000000000003</v>
      </c>
    </row>
    <row r="31" spans="1:7" ht="13.8" thickBot="1" x14ac:dyDescent="0.3">
      <c r="C31" s="47"/>
      <c r="D31" s="163" t="s">
        <v>199</v>
      </c>
      <c r="E31" s="163"/>
      <c r="F31" s="164"/>
      <c r="G31" s="59">
        <f>SUM(G17:G30)</f>
        <v>218.76000000000002</v>
      </c>
    </row>
    <row r="32" spans="1:7" ht="13.8" hidden="1" thickBot="1" x14ac:dyDescent="0.3">
      <c r="D32" s="166" t="s">
        <v>290</v>
      </c>
      <c r="E32" s="166"/>
      <c r="F32" s="166"/>
      <c r="G32" s="59">
        <f>Rēķini!R7</f>
        <v>0</v>
      </c>
    </row>
    <row r="33" spans="1:9" ht="13.8" hidden="1" thickBot="1" x14ac:dyDescent="0.3">
      <c r="D33" s="166" t="s">
        <v>291</v>
      </c>
      <c r="E33" s="166"/>
      <c r="F33" s="166"/>
      <c r="G33" s="102">
        <f>G31+G32</f>
        <v>218.76000000000002</v>
      </c>
    </row>
    <row r="34" spans="1:9" x14ac:dyDescent="0.25">
      <c r="D34" s="55"/>
    </row>
    <row r="35" spans="1:9" x14ac:dyDescent="0.25">
      <c r="A35" s="40" t="str">
        <f>_xlfn.TEXTJOIN(" ",TRUE,"Summa vārdiem: ",Rēķini!U7)</f>
        <v>Summa vārdiem:  Divi simti astoņpadsmit eiro, 76 centi</v>
      </c>
    </row>
    <row r="36" spans="1:9" x14ac:dyDescent="0.25">
      <c r="I36" s="41"/>
    </row>
    <row r="38" spans="1:9" x14ac:dyDescent="0.25">
      <c r="A38" s="41" t="str">
        <f>_xlfn.TEXTJOIN(" ",TRUE,"* Siltumenerģijas patēriņš", Rēķini!$D$30, "kopā: ",Rekvizīti!$C$19,"Mwh (",Rēķini!$E$32, "Eur)")</f>
        <v>* Siltumenerģijas patēriņš martā kopā:  7,81 Mwh ( 729,3 Eur)</v>
      </c>
    </row>
    <row r="39" spans="1:9" x14ac:dyDescent="0.25">
      <c r="A39" s="41" t="str">
        <f>_xlfn.TEXTJOIN(" ",TRUE,"** Atkritumu izvešana kopā:",Rēķini!$E$33,"EUR(1x nedēļā), aprēķināts uz 16 iedzīvotājiem")</f>
        <v>** Atkritumu izvešana kopā: 113,72 EUR(1x nedēļā), aprēķināts uz 16 iedzīvotājiem</v>
      </c>
    </row>
    <row r="40" spans="1:9" x14ac:dyDescent="0.25">
      <c r="A40" s="41" t="str">
        <f>_xlfn.TEXTJOIN(" ",TRUE,"*** Koplietošanas elektrības patēriņš", Rēķini!$D$30, "kopā: ",Rekvizīti!$C$20,"Kwh (", Rekvizīti!$C$9, "Eur)")</f>
        <v>*** Koplietošanas elektrības patēriņš martā kopā:  278,46 Kwh ( 67,43 Eur)</v>
      </c>
    </row>
    <row r="41" spans="1:9" hidden="1" x14ac:dyDescent="0.25">
      <c r="A41" s="41" t="s">
        <v>281</v>
      </c>
    </row>
    <row r="42" spans="1:9" x14ac:dyDescent="0.25">
      <c r="A42" s="41" t="s">
        <v>296</v>
      </c>
    </row>
    <row r="44" spans="1:9" ht="13.8" x14ac:dyDescent="0.25">
      <c r="A44" s="48"/>
    </row>
    <row r="45" spans="1:9" x14ac:dyDescent="0.25">
      <c r="A45" s="41"/>
    </row>
    <row r="46" spans="1:9" x14ac:dyDescent="0.25">
      <c r="A46" s="41" t="s">
        <v>106</v>
      </c>
    </row>
  </sheetData>
  <mergeCells count="22">
    <mergeCell ref="A2:C2"/>
    <mergeCell ref="A15:C16"/>
    <mergeCell ref="D15:D16"/>
    <mergeCell ref="E15:E16"/>
    <mergeCell ref="A22:C22"/>
    <mergeCell ref="A17:C17"/>
    <mergeCell ref="A29:C29"/>
    <mergeCell ref="F15:F16"/>
    <mergeCell ref="G15:G16"/>
    <mergeCell ref="A19:C19"/>
    <mergeCell ref="A20:C20"/>
    <mergeCell ref="A21:C21"/>
    <mergeCell ref="D32:F32"/>
    <mergeCell ref="A24:C24"/>
    <mergeCell ref="A23:C23"/>
    <mergeCell ref="D33:F33"/>
    <mergeCell ref="A26:C26"/>
    <mergeCell ref="A25:C25"/>
    <mergeCell ref="A27:C27"/>
    <mergeCell ref="A28:C28"/>
    <mergeCell ref="A30:C30"/>
    <mergeCell ref="D31:F31"/>
  </mergeCells>
  <pageMargins left="0.7" right="0.7" top="0.75" bottom="0.75" header="0.3" footer="0.3"/>
  <pageSetup paperSize="9" orientation="portrait" r:id="rId1"/>
  <ignoredErrors>
    <ignoredError sqref="F21:F22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584E-5800-4E12-9E1A-03EC6CE17A33}">
  <sheetPr codeName="Sheet9"/>
  <dimension ref="A2:I45"/>
  <sheetViews>
    <sheetView workbookViewId="0">
      <selection activeCell="E28" sqref="E28"/>
    </sheetView>
  </sheetViews>
  <sheetFormatPr defaultRowHeight="13.2" x14ac:dyDescent="0.25"/>
  <cols>
    <col min="1" max="1" width="28.109375" customWidth="1"/>
    <col min="2" max="2" width="10.5546875" customWidth="1"/>
    <col min="3" max="3" width="8" customWidth="1"/>
    <col min="4" max="4" width="10" customWidth="1"/>
    <col min="7" max="7" width="12.5546875" customWidth="1"/>
  </cols>
  <sheetData>
    <row r="2" spans="1:7" x14ac:dyDescent="0.25">
      <c r="A2" s="165">
        <f ca="1">TODAY()</f>
        <v>46135</v>
      </c>
      <c r="B2" s="165"/>
      <c r="C2" s="165"/>
      <c r="E2" s="16" t="str">
        <f>_xlfn.TEXTJOIN("",TRUE,"Rēķins Nr. B",Rēķini!A1,Rēķini!D2,"0",Rekvizīti!C3+3)</f>
        <v>Rēķins Nr. B2026040439</v>
      </c>
      <c r="G2" s="39"/>
    </row>
    <row r="3" spans="1:7" x14ac:dyDescent="0.25">
      <c r="A3" s="40"/>
      <c r="B3" s="40"/>
    </row>
    <row r="4" spans="1:7" x14ac:dyDescent="0.25">
      <c r="A4" s="40" t="s">
        <v>218</v>
      </c>
      <c r="B4" s="40"/>
      <c r="E4" s="40" t="s">
        <v>231</v>
      </c>
    </row>
    <row r="5" spans="1:7" x14ac:dyDescent="0.25">
      <c r="A5" s="40" t="s">
        <v>219</v>
      </c>
      <c r="B5" s="41"/>
      <c r="E5" s="41" t="s">
        <v>225</v>
      </c>
    </row>
    <row r="6" spans="1:7" x14ac:dyDescent="0.25">
      <c r="A6" s="40" t="s">
        <v>220</v>
      </c>
      <c r="B6" s="41"/>
      <c r="D6" s="41"/>
    </row>
    <row r="7" spans="1:7" x14ac:dyDescent="0.25">
      <c r="A7" s="40" t="s">
        <v>221</v>
      </c>
      <c r="B7" s="41"/>
      <c r="D7" s="41"/>
    </row>
    <row r="8" spans="1:7" x14ac:dyDescent="0.25">
      <c r="A8" s="40" t="s">
        <v>222</v>
      </c>
      <c r="B8" s="40"/>
      <c r="D8" s="41"/>
    </row>
    <row r="10" spans="1:7" x14ac:dyDescent="0.25">
      <c r="A10" s="53" t="str">
        <f>_xlfn.TEXTJOIN("",TRUE,"Komunālo pakalpojumu sniegšanas periods: ","2025. gada ",Rēķini!$D$1)</f>
        <v>Komunālo pakalpojumu sniegšanas periods: 2025. gada MARTS</v>
      </c>
    </row>
    <row r="11" spans="1:7" x14ac:dyDescent="0.25">
      <c r="A11" s="53" t="str">
        <f>_xlfn.TEXTJOIN("",TRUE,"Apsaimniekošana: ",Rēķini!$A$1,". gada ",Rēķini!$E$1)</f>
        <v>Apsaimniekošana: 2026. gada APRĪLIS</v>
      </c>
    </row>
    <row r="13" spans="1:7" x14ac:dyDescent="0.25">
      <c r="A13" s="39" t="s">
        <v>91</v>
      </c>
      <c r="B13" s="42">
        <f>DATE(Rēķini!A1,Rēķini!$D$2,30)</f>
        <v>46142</v>
      </c>
    </row>
    <row r="14" spans="1:7" ht="13.8" thickBot="1" x14ac:dyDescent="0.3"/>
    <row r="15" spans="1:7" x14ac:dyDescent="0.25">
      <c r="A15" s="151" t="s">
        <v>92</v>
      </c>
      <c r="B15" s="152"/>
      <c r="C15" s="153"/>
      <c r="D15" s="143" t="s">
        <v>93</v>
      </c>
      <c r="E15" s="143" t="s">
        <v>94</v>
      </c>
      <c r="F15" s="143" t="s">
        <v>95</v>
      </c>
      <c r="G15" s="143" t="s">
        <v>96</v>
      </c>
    </row>
    <row r="16" spans="1:7" ht="13.8" thickBot="1" x14ac:dyDescent="0.3">
      <c r="A16" s="154"/>
      <c r="B16" s="155"/>
      <c r="C16" s="156"/>
      <c r="D16" s="144"/>
      <c r="E16" s="144"/>
      <c r="F16" s="144"/>
      <c r="G16" s="144"/>
    </row>
    <row r="17" spans="1:7" ht="15.6" x14ac:dyDescent="0.25">
      <c r="A17" s="167" t="s">
        <v>213</v>
      </c>
      <c r="B17" s="168"/>
      <c r="C17" s="169"/>
      <c r="D17" s="52" t="s">
        <v>103</v>
      </c>
      <c r="E17" s="99">
        <v>109.4</v>
      </c>
      <c r="F17" s="100">
        <v>0.60440000000000005</v>
      </c>
      <c r="G17" s="101">
        <f>ROUND(E17*F17,2)</f>
        <v>66.12</v>
      </c>
    </row>
    <row r="18" spans="1:7" x14ac:dyDescent="0.25">
      <c r="A18" s="145" t="s">
        <v>97</v>
      </c>
      <c r="B18" s="146"/>
      <c r="C18" s="147"/>
      <c r="D18" s="43"/>
      <c r="E18" s="43"/>
      <c r="F18" s="44"/>
      <c r="G18" s="50"/>
    </row>
    <row r="19" spans="1:7" ht="15.75" customHeight="1" x14ac:dyDescent="0.25">
      <c r="A19" s="148" t="str">
        <f>_xlfn.TEXTJOIN(" ",TRUE,"Aukstā ūdens skaitītājs WC. (rād:",Ūdens!J5,"-", Ūdens!K5, ")")</f>
        <v>Aukstā ūdens skaitītājs WC. (rād: 12,34 - 15,8 )</v>
      </c>
      <c r="B19" s="149"/>
      <c r="C19" s="150"/>
      <c r="D19" s="43" t="s">
        <v>98</v>
      </c>
      <c r="E19" s="43">
        <f>Ūdens!R5</f>
        <v>3.4600000000000009</v>
      </c>
      <c r="F19" s="50">
        <f>Rēķini!G2</f>
        <v>3.2307000000000001</v>
      </c>
      <c r="G19" s="50">
        <f>Ūdens!X5</f>
        <v>11.18</v>
      </c>
    </row>
    <row r="20" spans="1:7" ht="15.75" customHeight="1" x14ac:dyDescent="0.25">
      <c r="A20" s="148" t="str">
        <f>_xlfn.TEXTJOIN(" ",TRUE,"Karstā ūdens skaitītājs WC (rād:",Ūdens!L5,"-", Ūdens!M5, ")")</f>
        <v>Karstā ūdens skaitītājs WC (rād: 5,36 - 7,01 )</v>
      </c>
      <c r="B20" s="149"/>
      <c r="C20" s="150"/>
      <c r="D20" s="43" t="s">
        <v>98</v>
      </c>
      <c r="E20" s="43">
        <f>Ūdens!S5</f>
        <v>1.6499999999999995</v>
      </c>
      <c r="F20" s="44">
        <f>Rēķini!H2</f>
        <v>6.9107000000000003</v>
      </c>
      <c r="G20" s="50">
        <f>Ūdens!Y5</f>
        <v>11.4</v>
      </c>
    </row>
    <row r="21" spans="1:7" ht="15.75" customHeight="1" x14ac:dyDescent="0.25">
      <c r="A21" s="148" t="str">
        <f>_xlfn.TEXTJOIN(" ",TRUE,"Aukstā ūdens skaitītājs virt. (rād:",Ūdens!N5,"-", Ūdens!O5, ")")</f>
        <v>Aukstā ūdens skaitītājs virt. (rād: 1,45 - 1,78 )</v>
      </c>
      <c r="B21" s="149"/>
      <c r="C21" s="150"/>
      <c r="D21" s="43" t="s">
        <v>98</v>
      </c>
      <c r="E21" s="43">
        <f>Ūdens!T5</f>
        <v>0.33000000000000007</v>
      </c>
      <c r="F21" s="50">
        <f>Rēķini!G2</f>
        <v>3.2307000000000001</v>
      </c>
      <c r="G21" s="50">
        <f>Ūdens!Z5</f>
        <v>1.07</v>
      </c>
    </row>
    <row r="22" spans="1:7" ht="15.75" customHeight="1" x14ac:dyDescent="0.25">
      <c r="A22" s="148" t="str">
        <f>_xlfn.TEXTJOIN(" ",TRUE,"Karstā ūdens skaitītājs virt. (rād:",Ūdens!P5,"-", Ūdens!Q5, ")")</f>
        <v>Karstā ūdens skaitītājs virt. (rād: 4,06 - 5,06 )</v>
      </c>
      <c r="B22" s="149"/>
      <c r="C22" s="150"/>
      <c r="D22" s="43" t="s">
        <v>98</v>
      </c>
      <c r="E22" s="43">
        <f>Ūdens!U5</f>
        <v>1</v>
      </c>
      <c r="F22" s="44">
        <f>Rēķini!H2</f>
        <v>6.9107000000000003</v>
      </c>
      <c r="G22" s="50">
        <f>Ūdens!AA5</f>
        <v>6.91</v>
      </c>
    </row>
    <row r="23" spans="1:7" x14ac:dyDescent="0.25">
      <c r="A23" s="145" t="s">
        <v>99</v>
      </c>
      <c r="B23" s="146"/>
      <c r="C23" s="147"/>
      <c r="D23" s="43" t="s">
        <v>114</v>
      </c>
      <c r="E23" s="43">
        <v>1</v>
      </c>
      <c r="F23" s="50">
        <f>Rēķini!I8</f>
        <v>16.920000000000002</v>
      </c>
      <c r="G23" s="50">
        <f>Rēķini!I8</f>
        <v>16.920000000000002</v>
      </c>
    </row>
    <row r="24" spans="1:7" x14ac:dyDescent="0.25">
      <c r="A24" s="145" t="s">
        <v>100</v>
      </c>
      <c r="B24" s="146"/>
      <c r="C24" s="147"/>
      <c r="D24" s="43" t="s">
        <v>101</v>
      </c>
      <c r="E24" s="43">
        <v>1</v>
      </c>
      <c r="F24" s="50">
        <f>Rēķini!J8</f>
        <v>0.8</v>
      </c>
      <c r="G24" s="50">
        <f>Rēķini!J8</f>
        <v>0.8</v>
      </c>
    </row>
    <row r="25" spans="1:7" x14ac:dyDescent="0.25">
      <c r="A25" s="145" t="s">
        <v>111</v>
      </c>
      <c r="B25" s="146"/>
      <c r="C25" s="147"/>
      <c r="D25" s="43" t="s">
        <v>112</v>
      </c>
      <c r="E25" s="43">
        <v>2</v>
      </c>
      <c r="F25" s="50">
        <f>Rēķini!K2</f>
        <v>7.11</v>
      </c>
      <c r="G25" s="50">
        <f>E25*F25</f>
        <v>14.22</v>
      </c>
    </row>
    <row r="26" spans="1:7" x14ac:dyDescent="0.25">
      <c r="A26" s="145" t="s">
        <v>102</v>
      </c>
      <c r="B26" s="146"/>
      <c r="C26" s="147"/>
      <c r="D26" s="43" t="s">
        <v>114</v>
      </c>
      <c r="E26" s="43">
        <v>1</v>
      </c>
      <c r="F26" s="50">
        <f>Rēķini!L8</f>
        <v>5.62</v>
      </c>
      <c r="G26" s="50">
        <f>Rēķini!L8</f>
        <v>5.62</v>
      </c>
    </row>
    <row r="27" spans="1:7" ht="14.25" customHeight="1" x14ac:dyDescent="0.25">
      <c r="A27" s="145" t="s">
        <v>320</v>
      </c>
      <c r="B27" s="146"/>
      <c r="C27" s="147"/>
      <c r="D27" s="52" t="s">
        <v>103</v>
      </c>
      <c r="E27" s="43">
        <v>109.4</v>
      </c>
      <c r="F27" s="54">
        <f>Rekvizīti!C33</f>
        <v>0.24759999999999999</v>
      </c>
      <c r="G27" s="50">
        <f>Rēķini!M8</f>
        <v>27.09</v>
      </c>
    </row>
    <row r="28" spans="1:7" ht="14.25" customHeight="1" x14ac:dyDescent="0.25">
      <c r="A28" s="145" t="s">
        <v>321</v>
      </c>
      <c r="B28" s="146"/>
      <c r="C28" s="147"/>
      <c r="D28" s="52" t="s">
        <v>280</v>
      </c>
      <c r="E28" s="43">
        <v>511.85399999999998</v>
      </c>
      <c r="F28" s="54">
        <f>Rekvizīti!C34</f>
        <v>9.7500000000000003E-2</v>
      </c>
      <c r="G28" s="50">
        <f>Rēķini!N8</f>
        <v>49.91</v>
      </c>
    </row>
    <row r="29" spans="1:7" ht="15.6" x14ac:dyDescent="0.25">
      <c r="A29" s="145" t="s">
        <v>104</v>
      </c>
      <c r="B29" s="146"/>
      <c r="C29" s="147"/>
      <c r="D29" s="43" t="s">
        <v>103</v>
      </c>
      <c r="E29" s="43">
        <v>109.4</v>
      </c>
      <c r="F29" s="44">
        <f>Rēķini!O2</f>
        <v>3.6999999999999998E-2</v>
      </c>
      <c r="G29" s="50">
        <f>Rēķini!O8</f>
        <v>4.05</v>
      </c>
    </row>
    <row r="30" spans="1:7" ht="13.8" thickBot="1" x14ac:dyDescent="0.3">
      <c r="A30" s="160" t="s">
        <v>261</v>
      </c>
      <c r="B30" s="161"/>
      <c r="C30" s="162"/>
      <c r="D30" s="43"/>
      <c r="E30" s="43"/>
      <c r="F30" s="44"/>
      <c r="G30" s="50">
        <f>Rēķini!Q8</f>
        <v>-100.17</v>
      </c>
    </row>
    <row r="31" spans="1:7" ht="13.8" thickBot="1" x14ac:dyDescent="0.3">
      <c r="C31" s="47"/>
      <c r="D31" s="163" t="s">
        <v>105</v>
      </c>
      <c r="E31" s="163"/>
      <c r="F31" s="164"/>
      <c r="G31" s="59">
        <f>SUM(G17:G30)</f>
        <v>115.12000000000002</v>
      </c>
    </row>
    <row r="32" spans="1:7" x14ac:dyDescent="0.25">
      <c r="D32" s="55"/>
    </row>
    <row r="33" spans="1:9" x14ac:dyDescent="0.25">
      <c r="A33" s="40" t="str">
        <f>_xlfn.TEXTJOIN(" ",TRUE,"Summa vārdiem: ",Rēķini!U8)</f>
        <v>Summa vārdiem:  Viens simts piecpadsmit eiro, 12 centi</v>
      </c>
    </row>
    <row r="34" spans="1:9" x14ac:dyDescent="0.25">
      <c r="I34" s="41"/>
    </row>
    <row r="36" spans="1:9" x14ac:dyDescent="0.25">
      <c r="A36" s="41" t="str">
        <f>_xlfn.TEXTJOIN(" ",TRUE,"* Siltumenerģijas patēriņš", Rēķini!$D$30, "kopā: ",Rekvizīti!$C$19,"Mwh (",Rēķini!$E$32, "Eur)")</f>
        <v>* Siltumenerģijas patēriņš martā kopā:  7,81 Mwh ( 729,3 Eur)</v>
      </c>
    </row>
    <row r="37" spans="1:9" x14ac:dyDescent="0.25">
      <c r="A37" s="41" t="str">
        <f>_xlfn.TEXTJOIN(" ",TRUE,"** Atkritumu izvešana kopā:",Rēķini!$E$33,"EUR(1x nedēļā), aprēķināts uz 16 iedzīvotājiem")</f>
        <v>** Atkritumu izvešana kopā: 113,72 EUR(1x nedēļā), aprēķināts uz 16 iedzīvotājiem</v>
      </c>
    </row>
    <row r="38" spans="1:9" x14ac:dyDescent="0.25">
      <c r="A38" s="41" t="str">
        <f>_xlfn.TEXTJOIN(" ",TRUE,"*** Koplietošanas elektrības patēriņš", Rēķini!$D$30, "kopā: ",Rekvizīti!$C$20,"Kwh (", Rekvizīti!$C$9, "Eur)")</f>
        <v>*** Koplietošanas elektrības patēriņš martā kopā:  278,46 Kwh ( 67,43 Eur)</v>
      </c>
    </row>
    <row r="39" spans="1:9" hidden="1" x14ac:dyDescent="0.25">
      <c r="A39" s="41" t="s">
        <v>281</v>
      </c>
    </row>
    <row r="41" spans="1:9" ht="13.8" x14ac:dyDescent="0.25">
      <c r="A41" s="48"/>
    </row>
    <row r="42" spans="1:9" x14ac:dyDescent="0.25">
      <c r="A42" s="41"/>
    </row>
    <row r="43" spans="1:9" x14ac:dyDescent="0.25">
      <c r="A43" s="49"/>
    </row>
    <row r="44" spans="1:9" x14ac:dyDescent="0.25">
      <c r="A44" s="41"/>
    </row>
    <row r="45" spans="1:9" x14ac:dyDescent="0.25">
      <c r="A45" s="41" t="s">
        <v>106</v>
      </c>
    </row>
  </sheetData>
  <mergeCells count="21">
    <mergeCell ref="A2:C2"/>
    <mergeCell ref="A15:C16"/>
    <mergeCell ref="D15:D16"/>
    <mergeCell ref="E15:E16"/>
    <mergeCell ref="A17:C17"/>
    <mergeCell ref="A28:C28"/>
    <mergeCell ref="F15:F16"/>
    <mergeCell ref="G15:G16"/>
    <mergeCell ref="A18:C18"/>
    <mergeCell ref="A19:C19"/>
    <mergeCell ref="A20:C20"/>
    <mergeCell ref="A21:C21"/>
    <mergeCell ref="A30:C30"/>
    <mergeCell ref="D31:F31"/>
    <mergeCell ref="A22:C22"/>
    <mergeCell ref="A23:C23"/>
    <mergeCell ref="A24:C24"/>
    <mergeCell ref="A25:C25"/>
    <mergeCell ref="A26:C26"/>
    <mergeCell ref="A27:C27"/>
    <mergeCell ref="A29:C29"/>
  </mergeCells>
  <pageMargins left="0.7" right="0.7" top="0.75" bottom="0.75" header="0.3" footer="0.3"/>
  <pageSetup paperSize="9" orientation="portrait" r:id="rId1"/>
  <ignoredErrors>
    <ignoredError sqref="F20:F21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2E03-2E60-4144-AD5C-1A2728F0DBE9}">
  <sheetPr codeName="Sheet10"/>
  <dimension ref="A2:J43"/>
  <sheetViews>
    <sheetView zoomScale="95" zoomScaleNormal="95" workbookViewId="0">
      <selection activeCell="E26" sqref="E26"/>
    </sheetView>
  </sheetViews>
  <sheetFormatPr defaultRowHeight="13.2" x14ac:dyDescent="0.25"/>
  <cols>
    <col min="1" max="1" width="28.109375" customWidth="1"/>
    <col min="2" max="2" width="13.109375" customWidth="1"/>
    <col min="3" max="3" width="4.6640625" customWidth="1"/>
    <col min="4" max="4" width="11.33203125" customWidth="1"/>
    <col min="5" max="5" width="7.5546875" customWidth="1"/>
    <col min="6" max="6" width="8.33203125" customWidth="1"/>
    <col min="7" max="7" width="15.6640625" customWidth="1"/>
  </cols>
  <sheetData>
    <row r="2" spans="1:7" x14ac:dyDescent="0.25">
      <c r="A2" s="165">
        <f ca="1">TODAY()</f>
        <v>46135</v>
      </c>
      <c r="B2" s="165"/>
      <c r="C2" s="165"/>
      <c r="E2" s="16" t="str">
        <f>_xlfn.TEXTJOIN("",TRUE,"Rēķins Nr. B",Rēķini!A1,Rēķini!D2,"0",Rekvizīti!C3+4)</f>
        <v>Rēķins Nr. B2026040440</v>
      </c>
      <c r="G2" s="39"/>
    </row>
    <row r="3" spans="1:7" x14ac:dyDescent="0.25">
      <c r="A3" s="40"/>
      <c r="B3" s="40"/>
    </row>
    <row r="4" spans="1:7" x14ac:dyDescent="0.25">
      <c r="A4" s="40" t="s">
        <v>218</v>
      </c>
      <c r="B4" s="40"/>
      <c r="E4" s="40" t="s">
        <v>232</v>
      </c>
    </row>
    <row r="5" spans="1:7" x14ac:dyDescent="0.25">
      <c r="A5" s="40" t="s">
        <v>219</v>
      </c>
      <c r="B5" s="41"/>
      <c r="D5" s="41"/>
      <c r="E5" s="41" t="s">
        <v>227</v>
      </c>
    </row>
    <row r="6" spans="1:7" x14ac:dyDescent="0.25">
      <c r="A6" s="40" t="s">
        <v>220</v>
      </c>
      <c r="B6" s="41"/>
      <c r="D6" s="41"/>
    </row>
    <row r="7" spans="1:7" x14ac:dyDescent="0.25">
      <c r="A7" s="40" t="s">
        <v>221</v>
      </c>
      <c r="B7" s="41"/>
      <c r="D7" s="41"/>
    </row>
    <row r="8" spans="1:7" x14ac:dyDescent="0.25">
      <c r="A8" s="40" t="s">
        <v>222</v>
      </c>
      <c r="B8" s="40"/>
      <c r="D8" s="41"/>
    </row>
    <row r="10" spans="1:7" x14ac:dyDescent="0.25">
      <c r="A10" s="53" t="str">
        <f>_xlfn.TEXTJOIN("",TRUE,"Komunālo pakalpojumu sniegšanas periods: ","2025. gada ",Rēķini!$D$1)</f>
        <v>Komunālo pakalpojumu sniegšanas periods: 2025. gada MARTS</v>
      </c>
    </row>
    <row r="11" spans="1:7" x14ac:dyDescent="0.25">
      <c r="A11" s="53" t="str">
        <f>_xlfn.TEXTJOIN("",TRUE,"Apsaimniekošana: ",Rēķini!$A$1,". gada ",Rēķini!$E$1)</f>
        <v>Apsaimniekošana: 2026. gada APRĪLIS</v>
      </c>
    </row>
    <row r="13" spans="1:7" x14ac:dyDescent="0.25">
      <c r="A13" s="39" t="s">
        <v>91</v>
      </c>
      <c r="B13" s="42">
        <f>DATE(Rēķini!A1,Rēķini!$D$2,30)</f>
        <v>46142</v>
      </c>
    </row>
    <row r="14" spans="1:7" ht="13.8" thickBot="1" x14ac:dyDescent="0.3"/>
    <row r="15" spans="1:7" x14ac:dyDescent="0.25">
      <c r="A15" s="151" t="s">
        <v>92</v>
      </c>
      <c r="B15" s="152"/>
      <c r="C15" s="153"/>
      <c r="D15" s="143" t="s">
        <v>93</v>
      </c>
      <c r="E15" s="143" t="s">
        <v>94</v>
      </c>
      <c r="F15" s="143" t="s">
        <v>95</v>
      </c>
      <c r="G15" s="143" t="s">
        <v>96</v>
      </c>
    </row>
    <row r="16" spans="1:7" ht="13.8" thickBot="1" x14ac:dyDescent="0.3">
      <c r="A16" s="154"/>
      <c r="B16" s="155"/>
      <c r="C16" s="156"/>
      <c r="D16" s="144"/>
      <c r="E16" s="144"/>
      <c r="F16" s="144"/>
      <c r="G16" s="144"/>
    </row>
    <row r="17" spans="1:10" ht="15.6" x14ac:dyDescent="0.25">
      <c r="A17" s="167" t="s">
        <v>213</v>
      </c>
      <c r="B17" s="168"/>
      <c r="C17" s="169"/>
      <c r="D17" s="117" t="s">
        <v>103</v>
      </c>
      <c r="E17" s="117">
        <v>28.4</v>
      </c>
      <c r="F17" s="54">
        <v>0.60440000000000005</v>
      </c>
      <c r="G17" s="50">
        <f>E17*F17</f>
        <v>17.164960000000001</v>
      </c>
    </row>
    <row r="18" spans="1:10" x14ac:dyDescent="0.25">
      <c r="A18" s="145" t="s">
        <v>97</v>
      </c>
      <c r="B18" s="146"/>
      <c r="C18" s="147"/>
      <c r="D18" s="43"/>
      <c r="E18" s="43"/>
      <c r="F18" s="44"/>
      <c r="G18" s="44"/>
    </row>
    <row r="19" spans="1:10" ht="15.75" customHeight="1" x14ac:dyDescent="0.25">
      <c r="A19" s="148" t="str">
        <f>_xlfn.TEXTJOIN(" ",TRUE,"Aukstā ūdens skaitītājs (rād:",Ūdens!J6,"-", Ūdens!K6, ")")</f>
        <v>Aukstā ūdens skaitītājs (rād: 0,26 - 0,31 )</v>
      </c>
      <c r="B19" s="149"/>
      <c r="C19" s="150"/>
      <c r="D19" s="43" t="s">
        <v>98</v>
      </c>
      <c r="E19" s="43">
        <f>Ūdens!R5</f>
        <v>3.4600000000000009</v>
      </c>
      <c r="F19" s="50">
        <f>Rēķini!G2</f>
        <v>3.2307000000000001</v>
      </c>
      <c r="G19" s="50">
        <f>Ūdens!X6</f>
        <v>0.16</v>
      </c>
    </row>
    <row r="20" spans="1:10" ht="15.75" customHeight="1" x14ac:dyDescent="0.25">
      <c r="A20" s="148" t="str">
        <f>_xlfn.TEXTJOIN(" ",TRUE,"Karstā ūdens skaitītājs (rād:",Ūdens!L6,"-", Ūdens!M6, ")")</f>
        <v>Karstā ūdens skaitītājs (rād: 0,16 - 0,2 )</v>
      </c>
      <c r="B20" s="149"/>
      <c r="C20" s="150"/>
      <c r="D20" s="43" t="s">
        <v>98</v>
      </c>
      <c r="E20" s="43">
        <f>Ūdens!S6</f>
        <v>4.0000000000000008E-2</v>
      </c>
      <c r="F20" s="44">
        <f>Rēķini!H2</f>
        <v>6.9107000000000003</v>
      </c>
      <c r="G20" s="50">
        <f>Ūdens!Y6</f>
        <v>0.28000000000000003</v>
      </c>
    </row>
    <row r="21" spans="1:10" x14ac:dyDescent="0.25">
      <c r="A21" s="145" t="s">
        <v>99</v>
      </c>
      <c r="B21" s="146"/>
      <c r="C21" s="147"/>
      <c r="D21" s="43" t="s">
        <v>114</v>
      </c>
      <c r="E21" s="43">
        <v>1</v>
      </c>
      <c r="F21" s="50">
        <f>Rēķini!I9</f>
        <v>6.77</v>
      </c>
      <c r="G21" s="50">
        <f>Rēķini!I9</f>
        <v>6.77</v>
      </c>
    </row>
    <row r="22" spans="1:10" x14ac:dyDescent="0.25">
      <c r="A22" s="145" t="s">
        <v>100</v>
      </c>
      <c r="B22" s="146"/>
      <c r="C22" s="147"/>
      <c r="D22" s="43" t="s">
        <v>101</v>
      </c>
      <c r="E22" s="43">
        <v>1</v>
      </c>
      <c r="F22" s="50">
        <f>Rēķini!J9</f>
        <v>0.8</v>
      </c>
      <c r="G22" s="50">
        <f>Rēķini!J9</f>
        <v>0.8</v>
      </c>
    </row>
    <row r="23" spans="1:10" x14ac:dyDescent="0.25">
      <c r="A23" s="145" t="s">
        <v>111</v>
      </c>
      <c r="B23" s="146"/>
      <c r="C23" s="147"/>
      <c r="D23" s="43" t="s">
        <v>112</v>
      </c>
      <c r="E23" s="43">
        <v>0</v>
      </c>
      <c r="F23" s="50">
        <f>Rēķini!K2</f>
        <v>7.11</v>
      </c>
      <c r="G23" s="50">
        <f>E23*F23</f>
        <v>0</v>
      </c>
    </row>
    <row r="24" spans="1:10" x14ac:dyDescent="0.25">
      <c r="A24" s="145" t="s">
        <v>102</v>
      </c>
      <c r="B24" s="146"/>
      <c r="C24" s="147"/>
      <c r="D24" s="43" t="s">
        <v>114</v>
      </c>
      <c r="E24" s="55">
        <v>1</v>
      </c>
      <c r="F24" s="62">
        <f>Rēķini!L9</f>
        <v>5.62</v>
      </c>
      <c r="G24" s="50">
        <f>Rēķini!L9</f>
        <v>5.62</v>
      </c>
    </row>
    <row r="25" spans="1:10" ht="18" customHeight="1" x14ac:dyDescent="0.25">
      <c r="A25" s="145" t="s">
        <v>320</v>
      </c>
      <c r="B25" s="146"/>
      <c r="C25" s="147"/>
      <c r="D25" s="52" t="s">
        <v>103</v>
      </c>
      <c r="E25" s="43">
        <v>28.4</v>
      </c>
      <c r="F25" s="54">
        <f>Rekvizīti!C33</f>
        <v>0.24759999999999999</v>
      </c>
      <c r="G25" s="50">
        <f>Rēķini!M9</f>
        <v>7.03</v>
      </c>
      <c r="J25" s="58"/>
    </row>
    <row r="26" spans="1:10" ht="18" customHeight="1" x14ac:dyDescent="0.25">
      <c r="A26" s="145" t="s">
        <v>321</v>
      </c>
      <c r="B26" s="146"/>
      <c r="C26" s="147"/>
      <c r="D26" s="52" t="s">
        <v>280</v>
      </c>
      <c r="E26" s="43">
        <v>0</v>
      </c>
      <c r="F26" s="54">
        <f>Rekvizīti!C34</f>
        <v>9.7500000000000003E-2</v>
      </c>
      <c r="G26" s="50">
        <f>Rēķini!N9</f>
        <v>0</v>
      </c>
      <c r="J26" s="58"/>
    </row>
    <row r="27" spans="1:10" ht="15.6" x14ac:dyDescent="0.25">
      <c r="A27" s="145" t="s">
        <v>104</v>
      </c>
      <c r="B27" s="146"/>
      <c r="C27" s="146"/>
      <c r="D27" s="52" t="s">
        <v>103</v>
      </c>
      <c r="E27" s="43">
        <v>28.4</v>
      </c>
      <c r="F27" s="109">
        <f>Rēķini!O2</f>
        <v>3.6999999999999998E-2</v>
      </c>
      <c r="G27" s="50">
        <f>Rēķini!O9</f>
        <v>1.05</v>
      </c>
      <c r="J27" s="58"/>
    </row>
    <row r="28" spans="1:10" ht="13.8" thickBot="1" x14ac:dyDescent="0.3">
      <c r="A28" s="160" t="s">
        <v>261</v>
      </c>
      <c r="B28" s="161"/>
      <c r="C28" s="161"/>
      <c r="D28" s="60"/>
      <c r="E28" s="45"/>
      <c r="F28" s="63"/>
      <c r="G28" s="51">
        <f>Rēķini!Q9</f>
        <v>-18.214960000000001</v>
      </c>
    </row>
    <row r="29" spans="1:10" ht="13.8" thickBot="1" x14ac:dyDescent="0.3">
      <c r="C29" s="47"/>
      <c r="D29" s="166" t="s">
        <v>105</v>
      </c>
      <c r="E29" s="166"/>
      <c r="F29" s="170"/>
      <c r="G29" s="56">
        <f>SUM(G17:G28)</f>
        <v>20.66</v>
      </c>
    </row>
    <row r="30" spans="1:10" x14ac:dyDescent="0.25">
      <c r="D30" s="55"/>
    </row>
    <row r="31" spans="1:10" x14ac:dyDescent="0.25">
      <c r="A31" s="40" t="str">
        <f>_xlfn.TEXTJOIN(" ",TRUE,"Summa vārdiem: ",Rēķini!U9)</f>
        <v>Summa vārdiem:  Divdesmit eiro, 66 centi</v>
      </c>
    </row>
    <row r="32" spans="1:10" x14ac:dyDescent="0.25">
      <c r="I32" s="41"/>
    </row>
    <row r="34" spans="1:1" x14ac:dyDescent="0.25">
      <c r="A34" s="41" t="str">
        <f>_xlfn.TEXTJOIN(" ",TRUE,"* Siltumenerģijas patēriņš", Rēķini!$D$30, "kopā: ",Rekvizīti!$C$19,"Mwh (",Rēķini!$E$32, "Eur)")</f>
        <v>* Siltumenerģijas patēriņš martā kopā:  7,81 Mwh ( 729,3 Eur)</v>
      </c>
    </row>
    <row r="35" spans="1:1" x14ac:dyDescent="0.25">
      <c r="A35" s="41" t="str">
        <f>_xlfn.TEXTJOIN(" ",TRUE,"** Atkritumu izvešana kopā:",Rēķini!$E$33,"EUR(1x nedēļā), aprēķināts uz 16 iedzīvotājiem")</f>
        <v>** Atkritumu izvešana kopā: 113,72 EUR(1x nedēļā), aprēķināts uz 16 iedzīvotājiem</v>
      </c>
    </row>
    <row r="36" spans="1:1" x14ac:dyDescent="0.25">
      <c r="A36" s="41" t="str">
        <f>_xlfn.TEXTJOIN(" ",TRUE,"*** Koplietošanas elektrības patēriņš", Rēķini!$D$30, "kopā: ",Rekvizīti!$C$20,"Kwh (", Rekvizīti!$C$9, "Eur)")</f>
        <v>*** Koplietošanas elektrības patēriņš martā kopā:  278,46 Kwh ( 67,43 Eur)</v>
      </c>
    </row>
    <row r="37" spans="1:1" hidden="1" x14ac:dyDescent="0.25">
      <c r="A37" s="41" t="s">
        <v>281</v>
      </c>
    </row>
    <row r="39" spans="1:1" ht="13.8" x14ac:dyDescent="0.25">
      <c r="A39" s="48"/>
    </row>
    <row r="40" spans="1:1" x14ac:dyDescent="0.25">
      <c r="A40" s="41"/>
    </row>
    <row r="41" spans="1:1" x14ac:dyDescent="0.25">
      <c r="A41" s="49"/>
    </row>
    <row r="42" spans="1:1" x14ac:dyDescent="0.25">
      <c r="A42" s="41"/>
    </row>
    <row r="43" spans="1:1" x14ac:dyDescent="0.25">
      <c r="A43" s="41" t="s">
        <v>106</v>
      </c>
    </row>
  </sheetData>
  <mergeCells count="19">
    <mergeCell ref="A27:C27"/>
    <mergeCell ref="E15:E16"/>
    <mergeCell ref="F15:F16"/>
    <mergeCell ref="G15:G16"/>
    <mergeCell ref="A18:C18"/>
    <mergeCell ref="A19:C19"/>
    <mergeCell ref="A20:C20"/>
    <mergeCell ref="A17:C17"/>
    <mergeCell ref="A26:C26"/>
    <mergeCell ref="A2:C2"/>
    <mergeCell ref="A15:C16"/>
    <mergeCell ref="D15:D16"/>
    <mergeCell ref="A28:C28"/>
    <mergeCell ref="D29:F29"/>
    <mergeCell ref="A21:C21"/>
    <mergeCell ref="A22:C22"/>
    <mergeCell ref="A23:C23"/>
    <mergeCell ref="A24:C24"/>
    <mergeCell ref="A25:C2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F5336-51C9-4F98-992F-ECC82CAB99E7}">
  <sheetPr codeName="Sheet11"/>
  <dimension ref="A2:I49"/>
  <sheetViews>
    <sheetView topLeftCell="A11" zoomScale="99" zoomScaleNormal="99" workbookViewId="0">
      <selection activeCell="A40" sqref="A40:A42"/>
    </sheetView>
  </sheetViews>
  <sheetFormatPr defaultRowHeight="13.2" x14ac:dyDescent="0.25"/>
  <cols>
    <col min="1" max="1" width="28.109375" customWidth="1"/>
    <col min="2" max="2" width="10.5546875" customWidth="1"/>
    <col min="3" max="3" width="8" customWidth="1"/>
    <col min="4" max="4" width="10.88671875" customWidth="1"/>
    <col min="7" max="7" width="12.33203125" customWidth="1"/>
  </cols>
  <sheetData>
    <row r="2" spans="1:7" x14ac:dyDescent="0.25">
      <c r="A2" s="165">
        <f ca="1">TODAY()</f>
        <v>46135</v>
      </c>
      <c r="B2" s="165"/>
      <c r="C2" s="165"/>
      <c r="E2" s="16" t="str">
        <f>_xlfn.TEXTJOIN("",TRUE,"Rēķins Nr. B",Rēķini!A1,Rēķini!D2,"0",Rekvizīti!C3+5)</f>
        <v>Rēķins Nr. B2026040441</v>
      </c>
      <c r="G2" s="39"/>
    </row>
    <row r="3" spans="1:7" x14ac:dyDescent="0.25">
      <c r="A3" s="40"/>
      <c r="B3" s="40"/>
    </row>
    <row r="4" spans="1:7" x14ac:dyDescent="0.25">
      <c r="A4" s="40" t="s">
        <v>218</v>
      </c>
      <c r="B4" s="40"/>
      <c r="E4" s="40" t="s">
        <v>231</v>
      </c>
    </row>
    <row r="5" spans="1:7" x14ac:dyDescent="0.25">
      <c r="A5" s="40" t="s">
        <v>219</v>
      </c>
      <c r="B5" s="41"/>
      <c r="E5" s="41" t="s">
        <v>226</v>
      </c>
    </row>
    <row r="6" spans="1:7" x14ac:dyDescent="0.25">
      <c r="A6" s="40" t="s">
        <v>220</v>
      </c>
      <c r="B6" s="41"/>
      <c r="D6" s="41"/>
    </row>
    <row r="7" spans="1:7" x14ac:dyDescent="0.25">
      <c r="A7" s="40" t="s">
        <v>221</v>
      </c>
      <c r="B7" s="41"/>
      <c r="D7" s="41"/>
    </row>
    <row r="8" spans="1:7" x14ac:dyDescent="0.25">
      <c r="A8" s="40" t="s">
        <v>222</v>
      </c>
      <c r="B8" s="40"/>
      <c r="D8" s="41"/>
    </row>
    <row r="10" spans="1:7" x14ac:dyDescent="0.25">
      <c r="A10" s="53" t="str">
        <f>_xlfn.TEXTJOIN("",TRUE,"Komunālo pakalpojumu sniegšanas periods: ","2025. gada ",Rēķini!$D$1)</f>
        <v>Komunālo pakalpojumu sniegšanas periods: 2025. gada MARTS</v>
      </c>
    </row>
    <row r="11" spans="1:7" x14ac:dyDescent="0.25">
      <c r="A11" s="53" t="str">
        <f>_xlfn.TEXTJOIN("",TRUE,"Apsaimniekošana: ",Rēķini!$A$1,". gada ",Rēķini!$E$1)</f>
        <v>Apsaimniekošana: 2026. gada APRĪLIS</v>
      </c>
    </row>
    <row r="13" spans="1:7" x14ac:dyDescent="0.25">
      <c r="A13" s="39" t="s">
        <v>91</v>
      </c>
      <c r="B13" s="42">
        <f>DATE(Rēķini!A1,Rēķini!$D$2,30)</f>
        <v>46142</v>
      </c>
    </row>
    <row r="14" spans="1:7" ht="13.8" thickBot="1" x14ac:dyDescent="0.3"/>
    <row r="15" spans="1:7" x14ac:dyDescent="0.25">
      <c r="A15" s="151" t="s">
        <v>92</v>
      </c>
      <c r="B15" s="152"/>
      <c r="C15" s="153"/>
      <c r="D15" s="143" t="s">
        <v>93</v>
      </c>
      <c r="E15" s="143" t="s">
        <v>94</v>
      </c>
      <c r="F15" s="143" t="s">
        <v>95</v>
      </c>
      <c r="G15" s="143" t="s">
        <v>96</v>
      </c>
    </row>
    <row r="16" spans="1:7" ht="13.8" thickBot="1" x14ac:dyDescent="0.3">
      <c r="A16" s="154"/>
      <c r="B16" s="155"/>
      <c r="C16" s="156"/>
      <c r="D16" s="144"/>
      <c r="E16" s="144"/>
      <c r="F16" s="144"/>
      <c r="G16" s="144"/>
    </row>
    <row r="17" spans="1:7" ht="15.6" x14ac:dyDescent="0.25">
      <c r="A17" s="167" t="s">
        <v>213</v>
      </c>
      <c r="B17" s="168"/>
      <c r="C17" s="169"/>
      <c r="D17" s="106" t="s">
        <v>103</v>
      </c>
      <c r="E17" s="43">
        <v>84.7</v>
      </c>
      <c r="F17" s="142">
        <v>0.60440000000000005</v>
      </c>
      <c r="G17" s="50">
        <f>E17*F17</f>
        <v>51.192680000000003</v>
      </c>
    </row>
    <row r="18" spans="1:7" x14ac:dyDescent="0.25">
      <c r="A18" s="145" t="s">
        <v>97</v>
      </c>
      <c r="B18" s="146"/>
      <c r="C18" s="147"/>
      <c r="D18" s="43"/>
      <c r="E18" s="43"/>
      <c r="F18" s="44"/>
      <c r="G18" s="50"/>
    </row>
    <row r="19" spans="1:7" ht="15.75" customHeight="1" x14ac:dyDescent="0.25">
      <c r="A19" s="148" t="str">
        <f>_xlfn.TEXTJOIN(" ",TRUE,"Aukstā ūdens skaitītājs vanna  (rād:",Ūdens!J7,"-", Ūdens!K7, ")")</f>
        <v>Aukstā ūdens skaitītājs vanna  (rād: 12,97 - 15,83 )</v>
      </c>
      <c r="B19" s="149"/>
      <c r="C19" s="150"/>
      <c r="D19" s="43" t="s">
        <v>98</v>
      </c>
      <c r="E19" s="43">
        <f>Ūdens!R7</f>
        <v>2.8599999999999994</v>
      </c>
      <c r="F19" s="50">
        <f>Rēķini!G2</f>
        <v>3.2307000000000001</v>
      </c>
      <c r="G19" s="50">
        <f>Ūdens!X7</f>
        <v>9.24</v>
      </c>
    </row>
    <row r="20" spans="1:7" ht="15.75" customHeight="1" x14ac:dyDescent="0.25">
      <c r="A20" s="148" t="str">
        <f>_xlfn.TEXTJOIN(" ",TRUE,"Karstā ūdens skaitītājs vanna (rād:",Ūdens!L7,"-", Ūdens!M7, ")")</f>
        <v>Karstā ūdens skaitītājs vanna (rād: 12,51 - 15,11 )</v>
      </c>
      <c r="B20" s="149"/>
      <c r="C20" s="150"/>
      <c r="D20" s="43" t="s">
        <v>98</v>
      </c>
      <c r="E20" s="43">
        <f>Ūdens!S7</f>
        <v>2.5999999999999996</v>
      </c>
      <c r="F20" s="44">
        <f>Rēķini!H2</f>
        <v>6.9107000000000003</v>
      </c>
      <c r="G20" s="50">
        <f>Ūdens!Y7</f>
        <v>17.97</v>
      </c>
    </row>
    <row r="21" spans="1:7" ht="15.75" customHeight="1" x14ac:dyDescent="0.25">
      <c r="A21" s="148" t="str">
        <f>_xlfn.TEXTJOIN(" ",TRUE,"Aukstā ūdens skaitītājs WC (rād:",Ūdens!N7,"-", Ūdens!O7, ")")</f>
        <v>Aukstā ūdens skaitītājs WC (rād: 11,81 - 14,52 )</v>
      </c>
      <c r="B21" s="149"/>
      <c r="C21" s="150"/>
      <c r="D21" s="43" t="s">
        <v>98</v>
      </c>
      <c r="E21" s="43">
        <f>Ūdens!T7</f>
        <v>2.7099999999999991</v>
      </c>
      <c r="F21" s="50">
        <f>Rēķini!G2</f>
        <v>3.2307000000000001</v>
      </c>
      <c r="G21" s="50">
        <f>Ūdens!Z7</f>
        <v>8.76</v>
      </c>
    </row>
    <row r="22" spans="1:7" ht="15.75" customHeight="1" x14ac:dyDescent="0.25">
      <c r="A22" s="148" t="str">
        <f>_xlfn.TEXTJOIN(" ",TRUE,"Karstā ūdens skaitītājs WC (rād:",Ūdens!P7,"-", Ūdens!Q7, ")")</f>
        <v>Karstā ūdens skaitītājs WC (rād: 4,26 - 5,07 )</v>
      </c>
      <c r="B22" s="149"/>
      <c r="C22" s="150"/>
      <c r="D22" s="43" t="s">
        <v>98</v>
      </c>
      <c r="E22" s="43">
        <f>Ūdens!U7</f>
        <v>0.8100000000000005</v>
      </c>
      <c r="F22" s="44">
        <f>Rēķini!H2</f>
        <v>6.9107000000000003</v>
      </c>
      <c r="G22" s="50">
        <f>Ūdens!AA7</f>
        <v>5.6</v>
      </c>
    </row>
    <row r="23" spans="1:7" x14ac:dyDescent="0.25">
      <c r="A23" s="145" t="s">
        <v>99</v>
      </c>
      <c r="B23" s="146"/>
      <c r="C23" s="147"/>
      <c r="D23" s="43" t="s">
        <v>114</v>
      </c>
      <c r="E23" s="43">
        <v>1</v>
      </c>
      <c r="F23" s="50">
        <f>Rēķini!I10</f>
        <v>13.54</v>
      </c>
      <c r="G23" s="50">
        <f>Rēķini!I10</f>
        <v>13.54</v>
      </c>
    </row>
    <row r="24" spans="1:7" x14ac:dyDescent="0.25">
      <c r="A24" s="145" t="s">
        <v>100</v>
      </c>
      <c r="B24" s="146"/>
      <c r="C24" s="147"/>
      <c r="D24" s="43" t="s">
        <v>101</v>
      </c>
      <c r="E24" s="43">
        <v>1</v>
      </c>
      <c r="F24" s="50">
        <f>Rēķini!J10</f>
        <v>0.8</v>
      </c>
      <c r="G24" s="50">
        <f>Rēķini!J10</f>
        <v>0.8</v>
      </c>
    </row>
    <row r="25" spans="1:7" x14ac:dyDescent="0.25">
      <c r="A25" s="145" t="s">
        <v>111</v>
      </c>
      <c r="B25" s="146"/>
      <c r="C25" s="147"/>
      <c r="D25" s="43" t="s">
        <v>112</v>
      </c>
      <c r="E25" s="43">
        <v>3</v>
      </c>
      <c r="F25" s="50">
        <f>Rēķini!K2</f>
        <v>7.11</v>
      </c>
      <c r="G25" s="50">
        <f>E25*F25</f>
        <v>21.330000000000002</v>
      </c>
    </row>
    <row r="26" spans="1:7" x14ac:dyDescent="0.25">
      <c r="A26" s="145" t="s">
        <v>102</v>
      </c>
      <c r="B26" s="146"/>
      <c r="C26" s="147"/>
      <c r="D26" s="43" t="s">
        <v>114</v>
      </c>
      <c r="E26" s="43">
        <v>1</v>
      </c>
      <c r="F26" s="50">
        <f>Rēķini!L10</f>
        <v>5.62</v>
      </c>
      <c r="G26" s="50">
        <f>Rēķini!L10</f>
        <v>5.62</v>
      </c>
    </row>
    <row r="27" spans="1:7" ht="13.5" customHeight="1" x14ac:dyDescent="0.25">
      <c r="A27" s="145" t="s">
        <v>320</v>
      </c>
      <c r="B27" s="146"/>
      <c r="C27" s="147"/>
      <c r="D27" s="52" t="s">
        <v>103</v>
      </c>
      <c r="E27" s="43">
        <v>84.7</v>
      </c>
      <c r="F27" s="54">
        <f>Rekvizīti!C33</f>
        <v>0.24759999999999999</v>
      </c>
      <c r="G27" s="50">
        <f>Rēķini!M10</f>
        <v>20.98</v>
      </c>
    </row>
    <row r="28" spans="1:7" ht="13.5" customHeight="1" x14ac:dyDescent="0.25">
      <c r="A28" s="145" t="s">
        <v>321</v>
      </c>
      <c r="B28" s="146"/>
      <c r="C28" s="147"/>
      <c r="D28" s="52" t="s">
        <v>280</v>
      </c>
      <c r="E28" s="43">
        <v>369.411</v>
      </c>
      <c r="F28" s="54">
        <f>Rekvizīti!C34</f>
        <v>9.7500000000000003E-2</v>
      </c>
      <c r="G28" s="50">
        <f>Rēķini!N10</f>
        <v>36.020000000000003</v>
      </c>
    </row>
    <row r="29" spans="1:7" ht="15.6" x14ac:dyDescent="0.25">
      <c r="A29" s="145" t="s">
        <v>104</v>
      </c>
      <c r="B29" s="146"/>
      <c r="C29" s="147"/>
      <c r="D29" s="52" t="s">
        <v>103</v>
      </c>
      <c r="E29" s="43">
        <v>84.7</v>
      </c>
      <c r="F29" s="54">
        <f>Rēķini!$O$2</f>
        <v>3.6999999999999998E-2</v>
      </c>
      <c r="G29" s="50">
        <f>Rēķini!$O$10</f>
        <v>3.13</v>
      </c>
    </row>
    <row r="30" spans="1:7" ht="13.8" thickBot="1" x14ac:dyDescent="0.3">
      <c r="A30" s="160" t="s">
        <v>261</v>
      </c>
      <c r="B30" s="161"/>
      <c r="C30" s="162"/>
      <c r="D30" s="60"/>
      <c r="E30" s="60"/>
      <c r="F30" s="61"/>
      <c r="G30" s="51">
        <f>Rēķini!Q10</f>
        <v>-75.55</v>
      </c>
    </row>
    <row r="31" spans="1:7" ht="13.8" thickBot="1" x14ac:dyDescent="0.3">
      <c r="C31" s="47"/>
      <c r="D31" s="166" t="s">
        <v>105</v>
      </c>
      <c r="E31" s="166"/>
      <c r="F31" s="170"/>
      <c r="G31" s="102">
        <f>SUM(G17:G30)</f>
        <v>118.63268000000001</v>
      </c>
    </row>
    <row r="32" spans="1:7" ht="13.8" hidden="1" thickBot="1" x14ac:dyDescent="0.3">
      <c r="C32" s="47"/>
      <c r="D32" s="57"/>
      <c r="E32" s="57"/>
      <c r="F32" s="57" t="s">
        <v>130</v>
      </c>
      <c r="G32" s="59">
        <v>0.78</v>
      </c>
    </row>
    <row r="33" spans="1:9" hidden="1" x14ac:dyDescent="0.25">
      <c r="C33" s="47"/>
      <c r="D33" s="57"/>
      <c r="E33" s="57"/>
      <c r="F33" s="57" t="s">
        <v>110</v>
      </c>
      <c r="G33" s="91">
        <f>G31-G32</f>
        <v>117.85268000000001</v>
      </c>
    </row>
    <row r="34" spans="1:9" x14ac:dyDescent="0.25">
      <c r="D34" s="55"/>
    </row>
    <row r="35" spans="1:9" x14ac:dyDescent="0.25">
      <c r="D35" s="55"/>
      <c r="F35" s="16"/>
      <c r="G35" s="15"/>
    </row>
    <row r="36" spans="1:9" x14ac:dyDescent="0.25">
      <c r="D36" s="55"/>
    </row>
    <row r="37" spans="1:9" x14ac:dyDescent="0.25">
      <c r="A37" s="40" t="str">
        <f>_xlfn.TEXTJOIN(" ",TRUE,"Summa vārdiem: ",Rēķini!U10)</f>
        <v>Summa vārdiem:  Viens simts astoņpadsmit eiro, 63 centi</v>
      </c>
    </row>
    <row r="38" spans="1:9" x14ac:dyDescent="0.25">
      <c r="I38" s="41"/>
    </row>
    <row r="40" spans="1:9" x14ac:dyDescent="0.25">
      <c r="A40" s="41" t="str">
        <f>_xlfn.TEXTJOIN(" ",TRUE,"* Siltumenerģijas patēriņš", Rēķini!$D$30, "kopā: ",Rekvizīti!$C$19,"Mwh (",Rēķini!$E$32, "Eur)")</f>
        <v>* Siltumenerģijas patēriņš martā kopā:  7,81 Mwh ( 729,3 Eur)</v>
      </c>
    </row>
    <row r="41" spans="1:9" x14ac:dyDescent="0.25">
      <c r="A41" s="41" t="str">
        <f>_xlfn.TEXTJOIN(" ",TRUE,"** Atkritumu izvešana kopā:",Rēķini!$E$33,"EUR(1x nedēļā), aprēķināts uz 16 iedzīvotājiem")</f>
        <v>** Atkritumu izvešana kopā: 113,72 EUR(1x nedēļā), aprēķināts uz 16 iedzīvotājiem</v>
      </c>
    </row>
    <row r="42" spans="1:9" x14ac:dyDescent="0.25">
      <c r="A42" s="41" t="str">
        <f>_xlfn.TEXTJOIN(" ",TRUE,"*** Koplietošanas elektrības patēriņš", Rēķini!$D$30, "kopā: ",Rekvizīti!$C$20,"Kwh (", Rekvizīti!$C$9, "Eur)")</f>
        <v>*** Koplietošanas elektrības patēriņš martā kopā:  278,46 Kwh ( 67,43 Eur)</v>
      </c>
    </row>
    <row r="43" spans="1:9" hidden="1" x14ac:dyDescent="0.25">
      <c r="A43" s="41" t="s">
        <v>281</v>
      </c>
    </row>
    <row r="45" spans="1:9" ht="13.8" x14ac:dyDescent="0.25">
      <c r="A45" s="48"/>
    </row>
    <row r="46" spans="1:9" x14ac:dyDescent="0.25">
      <c r="A46" s="41"/>
    </row>
    <row r="47" spans="1:9" x14ac:dyDescent="0.25">
      <c r="A47" s="49"/>
    </row>
    <row r="48" spans="1:9" x14ac:dyDescent="0.25">
      <c r="A48" s="41"/>
    </row>
    <row r="49" spans="1:1" x14ac:dyDescent="0.25">
      <c r="A49" s="41" t="s">
        <v>106</v>
      </c>
    </row>
  </sheetData>
  <mergeCells count="21">
    <mergeCell ref="G15:G16"/>
    <mergeCell ref="A18:C18"/>
    <mergeCell ref="A19:C19"/>
    <mergeCell ref="A20:C20"/>
    <mergeCell ref="D15:D16"/>
    <mergeCell ref="E15:E16"/>
    <mergeCell ref="F15:F16"/>
    <mergeCell ref="D31:F31"/>
    <mergeCell ref="A22:C22"/>
    <mergeCell ref="A23:C23"/>
    <mergeCell ref="A24:C24"/>
    <mergeCell ref="A25:C25"/>
    <mergeCell ref="A29:C29"/>
    <mergeCell ref="A21:C21"/>
    <mergeCell ref="A28:C28"/>
    <mergeCell ref="A2:C2"/>
    <mergeCell ref="A15:C16"/>
    <mergeCell ref="A30:C30"/>
    <mergeCell ref="A26:C26"/>
    <mergeCell ref="A27:C27"/>
    <mergeCell ref="A17:C17"/>
  </mergeCells>
  <pageMargins left="0.7" right="0.7" top="0.75" bottom="0.75" header="0.3" footer="0.3"/>
  <pageSetup paperSize="9" orientation="portrait" r:id="rId1"/>
  <ignoredErrors>
    <ignoredError sqref="F20" 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22C8-D840-4EFE-AA4C-5754B6A9B26B}">
  <dimension ref="A2:G45"/>
  <sheetViews>
    <sheetView workbookViewId="0">
      <selection activeCell="E26" sqref="E26:G27"/>
    </sheetView>
  </sheetViews>
  <sheetFormatPr defaultRowHeight="13.2" x14ac:dyDescent="0.25"/>
  <cols>
    <col min="1" max="1" width="28.88671875" customWidth="1"/>
    <col min="2" max="2" width="13.33203125" customWidth="1"/>
    <col min="7" max="7" width="8" customWidth="1"/>
  </cols>
  <sheetData>
    <row r="2" spans="1:7" x14ac:dyDescent="0.25">
      <c r="A2" s="165">
        <f ca="1">TODAY()</f>
        <v>46135</v>
      </c>
      <c r="B2" s="165"/>
      <c r="C2" s="165"/>
      <c r="D2" s="16" t="str">
        <f>_xlfn.TEXTJOIN("",TRUE,"Rēķins Nr. B",Rēķini!A1,Rēķini!D2,"0",Rekvizīti!C3+6)</f>
        <v>Rēķins Nr. B2026040442</v>
      </c>
      <c r="G2" s="39"/>
    </row>
    <row r="3" spans="1:7" x14ac:dyDescent="0.25">
      <c r="A3" s="40"/>
      <c r="B3" s="40"/>
    </row>
    <row r="4" spans="1:7" x14ac:dyDescent="0.25">
      <c r="A4" s="40" t="s">
        <v>218</v>
      </c>
      <c r="D4" s="40" t="s">
        <v>230</v>
      </c>
      <c r="E4" s="41" t="s">
        <v>229</v>
      </c>
    </row>
    <row r="5" spans="1:7" x14ac:dyDescent="0.25">
      <c r="A5" s="40" t="s">
        <v>219</v>
      </c>
      <c r="B5" s="41"/>
      <c r="D5" s="41" t="s">
        <v>228</v>
      </c>
    </row>
    <row r="6" spans="1:7" x14ac:dyDescent="0.25">
      <c r="A6" s="40" t="s">
        <v>220</v>
      </c>
      <c r="D6" s="41"/>
    </row>
    <row r="7" spans="1:7" x14ac:dyDescent="0.25">
      <c r="A7" s="40" t="s">
        <v>221</v>
      </c>
      <c r="D7" s="41"/>
    </row>
    <row r="8" spans="1:7" x14ac:dyDescent="0.25">
      <c r="A8" s="40" t="s">
        <v>222</v>
      </c>
      <c r="D8" s="41"/>
    </row>
    <row r="9" spans="1:7" x14ac:dyDescent="0.25">
      <c r="A9" s="40"/>
      <c r="B9" s="40"/>
      <c r="D9" s="41"/>
    </row>
    <row r="10" spans="1:7" x14ac:dyDescent="0.25">
      <c r="A10" s="53" t="str">
        <f>_xlfn.TEXTJOIN("",TRUE,"Komunālo pakalpojumu sniegšanas periods: ","2026. gada ",Rēķini!$D$1)</f>
        <v>Komunālo pakalpojumu sniegšanas periods: 2026. gada MARTS</v>
      </c>
      <c r="D10" s="53"/>
    </row>
    <row r="11" spans="1:7" x14ac:dyDescent="0.25">
      <c r="A11" s="53" t="str">
        <f>_xlfn.TEXTJOIN("",TRUE,"Apsaimniekošana: ",Rēķini!$A$1,". gada ",Rēķini!$E$1)</f>
        <v>Apsaimniekošana: 2026. gada APRĪLIS</v>
      </c>
    </row>
    <row r="12" spans="1:7" x14ac:dyDescent="0.25">
      <c r="A12" s="39"/>
      <c r="D12" s="53"/>
    </row>
    <row r="13" spans="1:7" x14ac:dyDescent="0.25">
      <c r="A13" s="39" t="s">
        <v>91</v>
      </c>
      <c r="B13" s="42">
        <f>DATE(Rēķini!A1,Rēķini!$D$2,30)</f>
        <v>46142</v>
      </c>
    </row>
    <row r="14" spans="1:7" x14ac:dyDescent="0.25">
      <c r="A14" s="39"/>
      <c r="B14" s="42"/>
    </row>
    <row r="15" spans="1:7" ht="13.8" thickBot="1" x14ac:dyDescent="0.3"/>
    <row r="16" spans="1:7" x14ac:dyDescent="0.25">
      <c r="A16" s="151" t="s">
        <v>92</v>
      </c>
      <c r="B16" s="176"/>
      <c r="C16" s="177"/>
      <c r="D16" s="180" t="s">
        <v>93</v>
      </c>
      <c r="E16" s="182" t="s">
        <v>94</v>
      </c>
      <c r="F16" s="182" t="s">
        <v>95</v>
      </c>
      <c r="G16" s="182" t="s">
        <v>96</v>
      </c>
    </row>
    <row r="17" spans="1:7" ht="13.8" thickBot="1" x14ac:dyDescent="0.3">
      <c r="A17" s="178"/>
      <c r="B17" s="179"/>
      <c r="C17" s="175"/>
      <c r="D17" s="181"/>
      <c r="E17" s="183"/>
      <c r="F17" s="183"/>
      <c r="G17" s="183"/>
    </row>
    <row r="18" spans="1:7" ht="15.6" x14ac:dyDescent="0.25">
      <c r="A18" s="145" t="s">
        <v>213</v>
      </c>
      <c r="B18" s="171"/>
      <c r="C18" s="172"/>
      <c r="D18" s="52" t="s">
        <v>103</v>
      </c>
      <c r="E18" s="43">
        <v>47.8</v>
      </c>
      <c r="F18" s="50">
        <v>0.60440000000000005</v>
      </c>
      <c r="G18" s="50">
        <f>ROUND(E18*F18,2)</f>
        <v>28.89</v>
      </c>
    </row>
    <row r="19" spans="1:7" x14ac:dyDescent="0.25">
      <c r="A19" s="145" t="s">
        <v>97</v>
      </c>
      <c r="B19" s="171"/>
      <c r="C19" s="172"/>
      <c r="D19" s="83"/>
      <c r="E19" s="43"/>
      <c r="F19" s="44"/>
      <c r="G19" s="50"/>
    </row>
    <row r="20" spans="1:7" ht="15.6" customHeight="1" x14ac:dyDescent="0.25">
      <c r="A20" s="148" t="str">
        <f>_xlfn.TEXTJOIN(" ",TRUE,"Aukstā ūdens skaitītājs (rād:",Ūdens!J8,"-", Ūdens!K8, ")")</f>
        <v>Aukstā ūdens skaitītājs (rād: 32,34 - 39,02 )</v>
      </c>
      <c r="B20" s="149"/>
      <c r="C20" s="150"/>
      <c r="D20" s="83" t="s">
        <v>196</v>
      </c>
      <c r="E20" s="43">
        <f>Ūdens!R8</f>
        <v>6.68</v>
      </c>
      <c r="F20" s="50">
        <f>Rēķini!G2</f>
        <v>3.2307000000000001</v>
      </c>
      <c r="G20" s="50">
        <f>ROUND(Ūdens!X8,2)</f>
        <v>21.58</v>
      </c>
    </row>
    <row r="21" spans="1:7" ht="15.6" customHeight="1" x14ac:dyDescent="0.25">
      <c r="A21" s="148" t="str">
        <f>_xlfn.TEXTJOIN(" ",TRUE,"Karstā ūdens skaitītājs (rād:",Ūdens!L8,"-", Ūdens!M8, ")")</f>
        <v>Karstā ūdens skaitītājs (rād: 18,35 - 22,22 )</v>
      </c>
      <c r="B21" s="149"/>
      <c r="C21" s="150"/>
      <c r="D21" s="83" t="s">
        <v>196</v>
      </c>
      <c r="E21" s="43">
        <f>Ūdens!S8</f>
        <v>3.8699999999999974</v>
      </c>
      <c r="F21" s="44">
        <f>Rēķini!H2</f>
        <v>6.9107000000000003</v>
      </c>
      <c r="G21" s="50">
        <f>ROUND(Ūdens!Y8,2)</f>
        <v>26.74</v>
      </c>
    </row>
    <row r="22" spans="1:7" x14ac:dyDescent="0.25">
      <c r="A22" s="145" t="s">
        <v>99</v>
      </c>
      <c r="B22" s="171"/>
      <c r="C22" s="172"/>
      <c r="D22" s="83" t="s">
        <v>114</v>
      </c>
      <c r="E22" s="43">
        <v>1</v>
      </c>
      <c r="F22" s="50">
        <f>Rēķini!I11</f>
        <v>6.77</v>
      </c>
      <c r="G22" s="50">
        <f>Rēķini!I11</f>
        <v>6.77</v>
      </c>
    </row>
    <row r="23" spans="1:7" x14ac:dyDescent="0.25">
      <c r="A23" s="145" t="s">
        <v>100</v>
      </c>
      <c r="B23" s="171"/>
      <c r="C23" s="172"/>
      <c r="D23" s="82" t="s">
        <v>101</v>
      </c>
      <c r="E23" s="43">
        <v>1</v>
      </c>
      <c r="F23" s="50">
        <f>Rēķini!J11</f>
        <v>0.8</v>
      </c>
      <c r="G23" s="50">
        <f>Rēķini!J11</f>
        <v>0.8</v>
      </c>
    </row>
    <row r="24" spans="1:7" x14ac:dyDescent="0.25">
      <c r="A24" s="145" t="s">
        <v>111</v>
      </c>
      <c r="B24" s="171"/>
      <c r="C24" s="172"/>
      <c r="D24" s="83" t="s">
        <v>112</v>
      </c>
      <c r="E24" s="43">
        <v>2</v>
      </c>
      <c r="F24" s="50">
        <f>Rēķini!K2</f>
        <v>7.11</v>
      </c>
      <c r="G24" s="50">
        <f>F24*E24</f>
        <v>14.22</v>
      </c>
    </row>
    <row r="25" spans="1:7" x14ac:dyDescent="0.25">
      <c r="A25" s="145" t="s">
        <v>197</v>
      </c>
      <c r="B25" s="171"/>
      <c r="C25" s="172"/>
      <c r="D25" s="83" t="s">
        <v>114</v>
      </c>
      <c r="E25" s="43">
        <v>1</v>
      </c>
      <c r="F25" s="50">
        <f>Rēķini!L1</f>
        <v>5.62</v>
      </c>
      <c r="G25" s="50">
        <f>Rēķini!L11</f>
        <v>5.62</v>
      </c>
    </row>
    <row r="26" spans="1:7" ht="12.75" customHeight="1" x14ac:dyDescent="0.25">
      <c r="A26" s="145" t="s">
        <v>320</v>
      </c>
      <c r="B26" s="146"/>
      <c r="C26" s="147"/>
      <c r="D26" s="52" t="s">
        <v>103</v>
      </c>
      <c r="E26" s="43">
        <v>47.8</v>
      </c>
      <c r="F26" s="54">
        <f>Rekvizīti!C33</f>
        <v>0.24759999999999999</v>
      </c>
      <c r="G26" s="50">
        <f>Rēķini!M11</f>
        <v>11.84</v>
      </c>
    </row>
    <row r="27" spans="1:7" ht="12.75" customHeight="1" x14ac:dyDescent="0.25">
      <c r="A27" s="145" t="s">
        <v>321</v>
      </c>
      <c r="B27" s="146"/>
      <c r="C27" s="147"/>
      <c r="D27" s="52" t="s">
        <v>280</v>
      </c>
      <c r="E27" s="43">
        <v>80.849999999999994</v>
      </c>
      <c r="F27" s="54">
        <f>Rekvizīti!C34</f>
        <v>9.7500000000000003E-2</v>
      </c>
      <c r="G27" s="50">
        <f>Rēķini!N11</f>
        <v>7.88</v>
      </c>
    </row>
    <row r="28" spans="1:7" ht="15.6" x14ac:dyDescent="0.25">
      <c r="A28" s="145" t="s">
        <v>104</v>
      </c>
      <c r="B28" s="171"/>
      <c r="C28" s="172"/>
      <c r="D28" s="83" t="s">
        <v>198</v>
      </c>
      <c r="E28" s="43">
        <v>47.8</v>
      </c>
      <c r="F28" s="54">
        <f>Rēķini!$O$2</f>
        <v>3.6999999999999998E-2</v>
      </c>
      <c r="G28" s="50">
        <f>Rēķini!$O$11</f>
        <v>1.77</v>
      </c>
    </row>
    <row r="29" spans="1:7" ht="13.8" thickBot="1" x14ac:dyDescent="0.3">
      <c r="A29" s="160" t="s">
        <v>261</v>
      </c>
      <c r="B29" s="174"/>
      <c r="C29" s="175"/>
      <c r="D29" s="83"/>
      <c r="E29" s="43"/>
      <c r="F29" s="54"/>
      <c r="G29" s="50">
        <f>Rēķini!Q11</f>
        <v>-30.66</v>
      </c>
    </row>
    <row r="30" spans="1:7" ht="13.8" thickBot="1" x14ac:dyDescent="0.3">
      <c r="A30" s="85"/>
      <c r="B30" s="86"/>
      <c r="C30" s="86"/>
      <c r="D30" s="173" t="s">
        <v>199</v>
      </c>
      <c r="E30" s="173"/>
      <c r="F30" s="173"/>
      <c r="G30" s="104">
        <f>SUM(G18:G29)</f>
        <v>95.449999999999989</v>
      </c>
    </row>
    <row r="31" spans="1:7" x14ac:dyDescent="0.25">
      <c r="A31" s="85"/>
      <c r="B31" s="86"/>
      <c r="C31" s="86"/>
      <c r="D31" s="57"/>
      <c r="E31" s="57"/>
      <c r="F31" s="57"/>
      <c r="G31" s="103"/>
    </row>
    <row r="32" spans="1:7" x14ac:dyDescent="0.25">
      <c r="C32" s="84"/>
      <c r="D32" s="57"/>
      <c r="E32" s="57"/>
      <c r="F32" s="57"/>
      <c r="G32" s="88"/>
    </row>
    <row r="33" spans="1:4" x14ac:dyDescent="0.25">
      <c r="D33" s="55"/>
    </row>
    <row r="34" spans="1:4" x14ac:dyDescent="0.25">
      <c r="A34" s="40" t="str">
        <f>_xlfn.TEXTJOIN(" ",TRUE,"Summa vārdiem: ",Rēķini!U11)</f>
        <v>Summa vārdiem:  Deviņdesmit pieci eiro, 45 centi</v>
      </c>
    </row>
    <row r="37" spans="1:4" x14ac:dyDescent="0.25">
      <c r="A37" s="41" t="str">
        <f>_xlfn.TEXTJOIN(" ",TRUE,"* Siltumenerģijas patēriņš", Rēķini!$D$30, "kopā: ",Rekvizīti!$C$19,"Mwh (",Rēķini!$E$32, "Eur)")</f>
        <v>* Siltumenerģijas patēriņš martā kopā:  7,81 Mwh ( 729,3 Eur)</v>
      </c>
    </row>
    <row r="38" spans="1:4" x14ac:dyDescent="0.25">
      <c r="A38" s="41" t="str">
        <f>_xlfn.TEXTJOIN(" ",TRUE,"** Atkritumu izvešana kopā:",Rēķini!$E$33,"EUR(1x nedēļā), aprēķināts uz 16 iedzīvotājiem")</f>
        <v>** Atkritumu izvešana kopā: 113,72 EUR(1x nedēļā), aprēķināts uz 16 iedzīvotājiem</v>
      </c>
    </row>
    <row r="39" spans="1:4" x14ac:dyDescent="0.25">
      <c r="A39" s="41" t="str">
        <f>_xlfn.TEXTJOIN(" ",TRUE,"*** Koplietošanas elektrības patēriņš", Rēķini!$D$30, "kopā: ",Rekvizīti!$C$20,"Kwh (", Rekvizīti!$C$9, "Eur)")</f>
        <v>*** Koplietošanas elektrības patēriņš martā kopā:  278,46 Kwh ( 67,43 Eur)</v>
      </c>
    </row>
    <row r="40" spans="1:4" hidden="1" x14ac:dyDescent="0.25">
      <c r="A40" s="41" t="s">
        <v>281</v>
      </c>
    </row>
    <row r="42" spans="1:4" ht="13.8" x14ac:dyDescent="0.25">
      <c r="A42" s="48"/>
    </row>
    <row r="43" spans="1:4" x14ac:dyDescent="0.25">
      <c r="A43" s="41"/>
    </row>
    <row r="44" spans="1:4" x14ac:dyDescent="0.25">
      <c r="A44" s="41"/>
    </row>
    <row r="45" spans="1:4" x14ac:dyDescent="0.25">
      <c r="A45" s="41" t="s">
        <v>106</v>
      </c>
    </row>
  </sheetData>
  <mergeCells count="19">
    <mergeCell ref="G16:G17"/>
    <mergeCell ref="A18:C18"/>
    <mergeCell ref="A19:C19"/>
    <mergeCell ref="A20:C20"/>
    <mergeCell ref="A21:C21"/>
    <mergeCell ref="D30:F30"/>
    <mergeCell ref="A29:C29"/>
    <mergeCell ref="A26:C26"/>
    <mergeCell ref="A2:C2"/>
    <mergeCell ref="A16:C17"/>
    <mergeCell ref="D16:D17"/>
    <mergeCell ref="E16:E17"/>
    <mergeCell ref="F16:F17"/>
    <mergeCell ref="A22:C22"/>
    <mergeCell ref="A23:C23"/>
    <mergeCell ref="A28:C28"/>
    <mergeCell ref="A27:C27"/>
    <mergeCell ref="A24:C24"/>
    <mergeCell ref="A25:C25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9DDF9-6C73-48C7-9D9D-38B4B24553F8}">
  <sheetPr codeName="Sheet13"/>
  <dimension ref="A2:I45"/>
  <sheetViews>
    <sheetView workbookViewId="0">
      <selection activeCell="E28" sqref="E28:G29"/>
    </sheetView>
  </sheetViews>
  <sheetFormatPr defaultRowHeight="13.2" x14ac:dyDescent="0.25"/>
  <cols>
    <col min="1" max="1" width="28.109375" customWidth="1"/>
    <col min="2" max="2" width="10.5546875" customWidth="1"/>
    <col min="3" max="3" width="8" customWidth="1"/>
    <col min="4" max="4" width="10.109375" customWidth="1"/>
    <col min="7" max="7" width="11" customWidth="1"/>
  </cols>
  <sheetData>
    <row r="2" spans="1:7" x14ac:dyDescent="0.25">
      <c r="A2" s="165">
        <f ca="1">TODAY()</f>
        <v>46135</v>
      </c>
      <c r="B2" s="165"/>
      <c r="C2" s="165"/>
      <c r="E2" s="16" t="str">
        <f>_xlfn.TEXTJOIN("",TRUE,"Rēķins Nr. B",Rēķini!A1,Rēķini!D2,"0",Rekvizīti!C3+7)</f>
        <v>Rēķins Nr. B2026040443</v>
      </c>
      <c r="G2" s="39"/>
    </row>
    <row r="3" spans="1:7" x14ac:dyDescent="0.25">
      <c r="A3" s="40"/>
      <c r="B3" s="40"/>
    </row>
    <row r="4" spans="1:7" x14ac:dyDescent="0.25">
      <c r="A4" s="40" t="s">
        <v>218</v>
      </c>
      <c r="B4" s="40"/>
      <c r="E4" s="40" t="s">
        <v>234</v>
      </c>
    </row>
    <row r="5" spans="1:7" x14ac:dyDescent="0.25">
      <c r="A5" s="40" t="s">
        <v>219</v>
      </c>
      <c r="B5" s="41"/>
      <c r="E5" s="41" t="s">
        <v>235</v>
      </c>
    </row>
    <row r="6" spans="1:7" x14ac:dyDescent="0.25">
      <c r="A6" s="40" t="s">
        <v>220</v>
      </c>
      <c r="B6" s="40"/>
      <c r="D6" s="41"/>
    </row>
    <row r="7" spans="1:7" x14ac:dyDescent="0.25">
      <c r="A7" s="40" t="s">
        <v>221</v>
      </c>
      <c r="B7" s="40"/>
      <c r="D7" s="41"/>
    </row>
    <row r="8" spans="1:7" x14ac:dyDescent="0.25">
      <c r="A8" s="40" t="s">
        <v>222</v>
      </c>
      <c r="B8" s="40"/>
      <c r="D8" s="41"/>
    </row>
    <row r="9" spans="1:7" x14ac:dyDescent="0.25">
      <c r="A9" s="40"/>
      <c r="B9" s="40"/>
      <c r="D9" s="41"/>
    </row>
    <row r="10" spans="1:7" x14ac:dyDescent="0.25">
      <c r="A10" s="53" t="str">
        <f>_xlfn.TEXTJOIN("",TRUE,"Komunālo pakalpojumu sniegšanas periods: ","2025. gada ",Rēķini!$D$1)</f>
        <v>Komunālo pakalpojumu sniegšanas periods: 2025. gada MARTS</v>
      </c>
    </row>
    <row r="11" spans="1:7" x14ac:dyDescent="0.25">
      <c r="A11" s="53" t="str">
        <f>_xlfn.TEXTJOIN("",TRUE,"Apsaimniekošana: ",Rēķini!$A$1,". gada ",Rēķini!$E$1)</f>
        <v>Apsaimniekošana: 2026. gada APRĪLIS</v>
      </c>
    </row>
    <row r="12" spans="1:7" x14ac:dyDescent="0.25">
      <c r="A12" s="53"/>
    </row>
    <row r="14" spans="1:7" x14ac:dyDescent="0.25">
      <c r="A14" s="39" t="s">
        <v>91</v>
      </c>
      <c r="B14" s="42">
        <f>DATE(Rēķini!A1,Rēķini!$D$2,30)</f>
        <v>46142</v>
      </c>
    </row>
    <row r="15" spans="1:7" ht="13.8" thickBot="1" x14ac:dyDescent="0.3"/>
    <row r="16" spans="1:7" x14ac:dyDescent="0.25">
      <c r="A16" s="151" t="s">
        <v>92</v>
      </c>
      <c r="B16" s="152"/>
      <c r="C16" s="153"/>
      <c r="D16" s="143" t="s">
        <v>93</v>
      </c>
      <c r="E16" s="143" t="s">
        <v>94</v>
      </c>
      <c r="F16" s="143" t="s">
        <v>95</v>
      </c>
      <c r="G16" s="143" t="s">
        <v>96</v>
      </c>
    </row>
    <row r="17" spans="1:7" ht="13.8" thickBot="1" x14ac:dyDescent="0.3">
      <c r="A17" s="154"/>
      <c r="B17" s="155"/>
      <c r="C17" s="156"/>
      <c r="D17" s="144"/>
      <c r="E17" s="144"/>
      <c r="F17" s="144"/>
      <c r="G17" s="144"/>
    </row>
    <row r="18" spans="1:7" ht="15.6" x14ac:dyDescent="0.25">
      <c r="A18" s="167" t="s">
        <v>213</v>
      </c>
      <c r="B18" s="168"/>
      <c r="C18" s="169"/>
      <c r="D18" s="52" t="s">
        <v>103</v>
      </c>
      <c r="E18" s="99">
        <v>65.7</v>
      </c>
      <c r="F18" s="100">
        <v>0.60440000000000005</v>
      </c>
      <c r="G18" s="101">
        <f>ROUND(E18*F18,2)</f>
        <v>39.71</v>
      </c>
    </row>
    <row r="19" spans="1:7" x14ac:dyDescent="0.25">
      <c r="A19" s="145" t="s">
        <v>97</v>
      </c>
      <c r="B19" s="146"/>
      <c r="C19" s="147"/>
      <c r="D19" s="43"/>
      <c r="E19" s="43"/>
      <c r="F19" s="44"/>
      <c r="G19" s="50"/>
    </row>
    <row r="20" spans="1:7" ht="15.75" customHeight="1" x14ac:dyDescent="0.25">
      <c r="A20" s="148" t="str">
        <f>_xlfn.TEXTJOIN(" ",TRUE,"Aukstā ūdens skaitītājs kor. (rād:",Ūdens!J9,"-", Ūdens!K9, ")")</f>
        <v>Aukstā ūdens skaitītājs kor. (rād: 0,17 - 0,17 )</v>
      </c>
      <c r="B20" s="149"/>
      <c r="C20" s="150"/>
      <c r="D20" s="43" t="s">
        <v>98</v>
      </c>
      <c r="E20" s="43">
        <f>Ūdens!R9</f>
        <v>0</v>
      </c>
      <c r="F20" s="50">
        <f>Rēķini!G2</f>
        <v>3.2307000000000001</v>
      </c>
      <c r="G20" s="50">
        <f>Ūdens!X9</f>
        <v>0</v>
      </c>
    </row>
    <row r="21" spans="1:7" ht="15.75" customHeight="1" x14ac:dyDescent="0.25">
      <c r="A21" s="148" t="str">
        <f>_xlfn.TEXTJOIN(" ",TRUE,"Karstā ūdens skaitītājs kor. (rād:",Ūdens!L9,"-", Ūdens!M9, ")")</f>
        <v>Karstā ūdens skaitītājs kor. (rād: 0,63 - 0,63 )</v>
      </c>
      <c r="B21" s="149"/>
      <c r="C21" s="150"/>
      <c r="D21" s="43" t="s">
        <v>98</v>
      </c>
      <c r="E21" s="43">
        <f>Ūdens!S9</f>
        <v>0</v>
      </c>
      <c r="F21" s="44">
        <f>Rēķini!H2</f>
        <v>6.9107000000000003</v>
      </c>
      <c r="G21" s="50">
        <f>Ūdens!Y9</f>
        <v>0</v>
      </c>
    </row>
    <row r="22" spans="1:7" ht="15.75" customHeight="1" x14ac:dyDescent="0.25">
      <c r="A22" s="148" t="str">
        <f>_xlfn.TEXTJOIN(" ",TRUE,"Aukstā ūdens skaitītājs vanna (rād:",Ūdens!N9,"-", Ūdens!O9, ")")</f>
        <v>Aukstā ūdens skaitītājs vanna (rād: 1,35 - 1,35 )</v>
      </c>
      <c r="B22" s="149"/>
      <c r="C22" s="150"/>
      <c r="D22" s="43" t="s">
        <v>98</v>
      </c>
      <c r="E22" s="43">
        <f>Ūdens!T9</f>
        <v>0</v>
      </c>
      <c r="F22" s="50">
        <f>Rēķini!G2</f>
        <v>3.2307000000000001</v>
      </c>
      <c r="G22" s="50">
        <f>Ūdens!Z9</f>
        <v>0</v>
      </c>
    </row>
    <row r="23" spans="1:7" ht="15.75" customHeight="1" x14ac:dyDescent="0.25">
      <c r="A23" s="148" t="str">
        <f>_xlfn.TEXTJOIN(" ",TRUE,"Karstā ūdens skaitītājs vanna (rād:",Ūdens!P9,"-", Ūdens!Q9, ")")</f>
        <v>Karstā ūdens skaitītājs vanna (rād: 0,11 - 0,11 )</v>
      </c>
      <c r="B23" s="149"/>
      <c r="C23" s="150"/>
      <c r="D23" s="43" t="s">
        <v>98</v>
      </c>
      <c r="E23" s="43">
        <f>Ūdens!U9</f>
        <v>0</v>
      </c>
      <c r="F23" s="44">
        <f>Rēķini!H2</f>
        <v>6.9107000000000003</v>
      </c>
      <c r="G23" s="50">
        <f>Ūdens!AA9</f>
        <v>0</v>
      </c>
    </row>
    <row r="24" spans="1:7" x14ac:dyDescent="0.25">
      <c r="A24" s="145" t="s">
        <v>99</v>
      </c>
      <c r="B24" s="146"/>
      <c r="C24" s="147"/>
      <c r="D24" s="43" t="s">
        <v>114</v>
      </c>
      <c r="E24" s="43">
        <v>1</v>
      </c>
      <c r="F24" s="50">
        <f>Rēķini!I12</f>
        <v>13.54</v>
      </c>
      <c r="G24" s="50">
        <f>Rēķini!I12</f>
        <v>13.54</v>
      </c>
    </row>
    <row r="25" spans="1:7" x14ac:dyDescent="0.25">
      <c r="A25" s="145" t="s">
        <v>100</v>
      </c>
      <c r="B25" s="146"/>
      <c r="C25" s="147"/>
      <c r="D25" s="43" t="s">
        <v>101</v>
      </c>
      <c r="E25" s="43">
        <v>1</v>
      </c>
      <c r="F25" s="50">
        <f>Rēķini!J12</f>
        <v>0.8</v>
      </c>
      <c r="G25" s="50">
        <f>Rēķini!J12</f>
        <v>0.8</v>
      </c>
    </row>
    <row r="26" spans="1:7" x14ac:dyDescent="0.25">
      <c r="A26" s="145" t="s">
        <v>111</v>
      </c>
      <c r="B26" s="146"/>
      <c r="C26" s="147"/>
      <c r="D26" s="43" t="s">
        <v>112</v>
      </c>
      <c r="E26" s="43">
        <v>1</v>
      </c>
      <c r="F26" s="50">
        <f>Rēķini!K2</f>
        <v>7.11</v>
      </c>
      <c r="G26" s="50">
        <f>E26*F26</f>
        <v>7.11</v>
      </c>
    </row>
    <row r="27" spans="1:7" x14ac:dyDescent="0.25">
      <c r="A27" s="145" t="s">
        <v>102</v>
      </c>
      <c r="B27" s="146"/>
      <c r="C27" s="147"/>
      <c r="D27" s="43" t="s">
        <v>114</v>
      </c>
      <c r="E27" s="43">
        <v>1</v>
      </c>
      <c r="F27" s="50">
        <f>Rēķini!L12</f>
        <v>5.62</v>
      </c>
      <c r="G27" s="50">
        <f>Rēķini!L12</f>
        <v>5.62</v>
      </c>
    </row>
    <row r="28" spans="1:7" ht="13.5" customHeight="1" x14ac:dyDescent="0.25">
      <c r="A28" s="145" t="s">
        <v>320</v>
      </c>
      <c r="B28" s="146"/>
      <c r="C28" s="147"/>
      <c r="D28" s="52" t="s">
        <v>103</v>
      </c>
      <c r="E28" s="43">
        <v>65.7</v>
      </c>
      <c r="F28" s="54">
        <f>Rekvizīti!C33</f>
        <v>0.24759999999999999</v>
      </c>
      <c r="G28" s="50">
        <f>Rēķini!M12</f>
        <v>16.27</v>
      </c>
    </row>
    <row r="29" spans="1:7" ht="13.5" customHeight="1" x14ac:dyDescent="0.25">
      <c r="A29" s="145" t="s">
        <v>321</v>
      </c>
      <c r="B29" s="146"/>
      <c r="C29" s="147"/>
      <c r="D29" s="52" t="s">
        <v>280</v>
      </c>
      <c r="E29" s="43">
        <v>0</v>
      </c>
      <c r="F29" s="54">
        <f>Rekvizīti!C34</f>
        <v>9.7500000000000003E-2</v>
      </c>
      <c r="G29" s="50">
        <f>Rēķini!N12</f>
        <v>0</v>
      </c>
    </row>
    <row r="30" spans="1:7" ht="15.6" x14ac:dyDescent="0.25">
      <c r="A30" s="145" t="s">
        <v>104</v>
      </c>
      <c r="B30" s="146"/>
      <c r="C30" s="147"/>
      <c r="D30" s="43" t="s">
        <v>103</v>
      </c>
      <c r="E30" s="43">
        <v>65.7</v>
      </c>
      <c r="F30" s="54">
        <f>Rēķini!$O$2</f>
        <v>3.6999999999999998E-2</v>
      </c>
      <c r="G30" s="50">
        <f>Rēķini!$O$12</f>
        <v>2.4300000000000002</v>
      </c>
    </row>
    <row r="31" spans="1:7" ht="13.8" thickBot="1" x14ac:dyDescent="0.3">
      <c r="A31" s="160" t="s">
        <v>261</v>
      </c>
      <c r="B31" s="161"/>
      <c r="C31" s="162"/>
      <c r="D31" s="43"/>
      <c r="E31" s="43"/>
      <c r="F31" s="54"/>
      <c r="G31" s="50">
        <f>Rēķini!Q12</f>
        <v>-42.139080000000007</v>
      </c>
    </row>
    <row r="32" spans="1:7" ht="13.8" thickBot="1" x14ac:dyDescent="0.3">
      <c r="C32" s="47"/>
      <c r="D32" s="163" t="s">
        <v>105</v>
      </c>
      <c r="E32" s="163"/>
      <c r="F32" s="164"/>
      <c r="G32" s="59">
        <f>SUM(G18:G31)</f>
        <v>43.340919999999997</v>
      </c>
    </row>
    <row r="33" spans="1:9" x14ac:dyDescent="0.25">
      <c r="D33" s="55"/>
    </row>
    <row r="34" spans="1:9" x14ac:dyDescent="0.25">
      <c r="A34" s="40" t="str">
        <f>_xlfn.TEXTJOIN(" ",TRUE,"Summa vārdiem: ",Rēķini!U12)</f>
        <v>Summa vārdiem:  Četrdesmit trīs eiro, 34 centi</v>
      </c>
    </row>
    <row r="35" spans="1:9" x14ac:dyDescent="0.25">
      <c r="I35" s="41"/>
    </row>
    <row r="37" spans="1:9" x14ac:dyDescent="0.25">
      <c r="A37" s="41" t="str">
        <f>_xlfn.TEXTJOIN(" ",TRUE,"* Siltumenerģijas patēriņš", Rēķini!$D$30, "kopā: ",Rekvizīti!$C$19,"Mwh (",Rēķini!$E$32, "Eur)")</f>
        <v>* Siltumenerģijas patēriņš martā kopā:  7,81 Mwh ( 729,3 Eur)</v>
      </c>
    </row>
    <row r="38" spans="1:9" x14ac:dyDescent="0.25">
      <c r="A38" s="41" t="str">
        <f>_xlfn.TEXTJOIN(" ",TRUE,"** Atkritumu izvešana kopā:",Rēķini!$E$33,"EUR(1x nedēļā), aprēķināts uz 16 iedzīvotājiem")</f>
        <v>** Atkritumu izvešana kopā: 113,72 EUR(1x nedēļā), aprēķināts uz 16 iedzīvotājiem</v>
      </c>
    </row>
    <row r="39" spans="1:9" x14ac:dyDescent="0.25">
      <c r="A39" s="41" t="str">
        <f>_xlfn.TEXTJOIN(" ",TRUE,"*** Koplietošanas elektrības patēriņš", Rēķini!$D$30, "kopā: ",Rekvizīti!$C$20,"Kwh (", Rekvizīti!$C$9, "Eur)")</f>
        <v>*** Koplietošanas elektrības patēriņš martā kopā:  278,46 Kwh ( 67,43 Eur)</v>
      </c>
    </row>
    <row r="40" spans="1:9" hidden="1" x14ac:dyDescent="0.25">
      <c r="A40" s="41" t="s">
        <v>281</v>
      </c>
    </row>
    <row r="42" spans="1:9" ht="13.8" x14ac:dyDescent="0.25">
      <c r="A42" s="48"/>
    </row>
    <row r="43" spans="1:9" x14ac:dyDescent="0.25">
      <c r="A43" s="41"/>
    </row>
    <row r="44" spans="1:9" x14ac:dyDescent="0.25">
      <c r="A44" s="41"/>
    </row>
    <row r="45" spans="1:9" x14ac:dyDescent="0.25">
      <c r="A45" s="41" t="s">
        <v>106</v>
      </c>
    </row>
  </sheetData>
  <mergeCells count="21">
    <mergeCell ref="D32:F32"/>
    <mergeCell ref="A22:C22"/>
    <mergeCell ref="A23:C23"/>
    <mergeCell ref="A24:C24"/>
    <mergeCell ref="A25:C25"/>
    <mergeCell ref="A27:C27"/>
    <mergeCell ref="A31:C31"/>
    <mergeCell ref="A29:C29"/>
    <mergeCell ref="A28:C28"/>
    <mergeCell ref="A19:C19"/>
    <mergeCell ref="A20:C20"/>
    <mergeCell ref="A21:C21"/>
    <mergeCell ref="A18:C18"/>
    <mergeCell ref="A30:C30"/>
    <mergeCell ref="A26:C26"/>
    <mergeCell ref="A2:C2"/>
    <mergeCell ref="A16:C17"/>
    <mergeCell ref="D16:D17"/>
    <mergeCell ref="E16:E17"/>
    <mergeCell ref="F16:F17"/>
    <mergeCell ref="G16:G17"/>
  </mergeCells>
  <pageMargins left="0.7" right="0.7" top="0.75" bottom="0.75" header="0.3" footer="0.3"/>
  <pageSetup paperSize="9" orientation="portrait" r:id="rId1"/>
  <ignoredErrors>
    <ignoredError sqref="F21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87EF4-30B0-4033-A4A2-DC231291F966}">
  <sheetPr codeName="Sheet14"/>
  <dimension ref="A2:I42"/>
  <sheetViews>
    <sheetView topLeftCell="A7" workbookViewId="0">
      <selection activeCell="E25" sqref="E25:G26"/>
    </sheetView>
  </sheetViews>
  <sheetFormatPr defaultRowHeight="13.2" x14ac:dyDescent="0.25"/>
  <cols>
    <col min="1" max="1" width="28.109375" customWidth="1"/>
    <col min="2" max="2" width="10.5546875" customWidth="1"/>
    <col min="3" max="3" width="8" customWidth="1"/>
    <col min="4" max="4" width="9.44140625" customWidth="1"/>
    <col min="6" max="6" width="11.5546875" customWidth="1"/>
    <col min="7" max="7" width="10.33203125" customWidth="1"/>
  </cols>
  <sheetData>
    <row r="2" spans="1:7" x14ac:dyDescent="0.25">
      <c r="A2" s="165">
        <f ca="1">TODAY()</f>
        <v>46135</v>
      </c>
      <c r="B2" s="165"/>
      <c r="C2" s="165"/>
      <c r="E2" s="16" t="str">
        <f>_xlfn.TEXTJOIN("",TRUE,"Rēķins Nr. B",Rēķini!A1, Rēķini!D2,"0",Rekvizīti!C3+8)</f>
        <v>Rēķins Nr. B2026040444</v>
      </c>
      <c r="G2" s="39"/>
    </row>
    <row r="3" spans="1:7" x14ac:dyDescent="0.25">
      <c r="A3" s="40"/>
      <c r="B3" s="40"/>
    </row>
    <row r="4" spans="1:7" x14ac:dyDescent="0.25">
      <c r="A4" s="40" t="s">
        <v>218</v>
      </c>
      <c r="B4" s="40"/>
      <c r="E4" s="40" t="s">
        <v>232</v>
      </c>
    </row>
    <row r="5" spans="1:7" x14ac:dyDescent="0.25">
      <c r="A5" s="40" t="s">
        <v>219</v>
      </c>
      <c r="B5" s="41"/>
      <c r="E5" s="41" t="s">
        <v>236</v>
      </c>
    </row>
    <row r="6" spans="1:7" x14ac:dyDescent="0.25">
      <c r="A6" s="40" t="s">
        <v>220</v>
      </c>
      <c r="B6" s="41"/>
      <c r="D6" s="41"/>
    </row>
    <row r="7" spans="1:7" x14ac:dyDescent="0.25">
      <c r="A7" s="40" t="s">
        <v>221</v>
      </c>
      <c r="B7" s="41"/>
      <c r="D7" s="41"/>
    </row>
    <row r="8" spans="1:7" x14ac:dyDescent="0.25">
      <c r="A8" s="40" t="s">
        <v>222</v>
      </c>
      <c r="B8" s="40"/>
      <c r="D8" s="41"/>
    </row>
    <row r="10" spans="1:7" x14ac:dyDescent="0.25">
      <c r="A10" s="53" t="str">
        <f>_xlfn.TEXTJOIN("",TRUE,"Komunālo pakalpojumu sniegšanas periods: ","2025. gada ",Rēķini!$D$1)</f>
        <v>Komunālo pakalpojumu sniegšanas periods: 2025. gada MARTS</v>
      </c>
    </row>
    <row r="11" spans="1:7" x14ac:dyDescent="0.25">
      <c r="A11" s="53" t="str">
        <f>_xlfn.TEXTJOIN("",TRUE,"Apsaimniekošana: ",Rēķini!$A$1,". gada ",Rēķini!$E$1)</f>
        <v>Apsaimniekošana: 2026. gada APRĪLIS</v>
      </c>
    </row>
    <row r="13" spans="1:7" x14ac:dyDescent="0.25">
      <c r="A13" s="39" t="s">
        <v>91</v>
      </c>
      <c r="B13" s="42">
        <f>DATE(Rēķini!A1,Rēķini!$D$2,30)</f>
        <v>46142</v>
      </c>
    </row>
    <row r="14" spans="1:7" ht="13.8" thickBot="1" x14ac:dyDescent="0.3"/>
    <row r="15" spans="1:7" x14ac:dyDescent="0.25">
      <c r="A15" s="151" t="s">
        <v>92</v>
      </c>
      <c r="B15" s="152"/>
      <c r="C15" s="153"/>
      <c r="D15" s="143" t="s">
        <v>93</v>
      </c>
      <c r="E15" s="143" t="s">
        <v>94</v>
      </c>
      <c r="F15" s="143" t="s">
        <v>95</v>
      </c>
      <c r="G15" s="143" t="s">
        <v>96</v>
      </c>
    </row>
    <row r="16" spans="1:7" ht="13.8" thickBot="1" x14ac:dyDescent="0.3">
      <c r="A16" s="154"/>
      <c r="B16" s="155"/>
      <c r="C16" s="156"/>
      <c r="D16" s="144"/>
      <c r="E16" s="144"/>
      <c r="F16" s="144"/>
      <c r="G16" s="144"/>
    </row>
    <row r="17" spans="1:9" ht="15.6" x14ac:dyDescent="0.25">
      <c r="A17" s="167" t="s">
        <v>213</v>
      </c>
      <c r="B17" s="168"/>
      <c r="C17" s="169"/>
      <c r="D17" s="52" t="s">
        <v>103</v>
      </c>
      <c r="E17" s="99">
        <v>47.1</v>
      </c>
      <c r="F17" s="100">
        <v>0.60440000000000005</v>
      </c>
      <c r="G17" s="101">
        <f>ROUND(E17*F17,2)</f>
        <v>28.47</v>
      </c>
    </row>
    <row r="18" spans="1:9" x14ac:dyDescent="0.25">
      <c r="A18" s="145" t="s">
        <v>97</v>
      </c>
      <c r="B18" s="146"/>
      <c r="C18" s="147"/>
      <c r="D18" s="43"/>
      <c r="E18" s="43"/>
      <c r="F18" s="44"/>
      <c r="G18" s="50"/>
    </row>
    <row r="19" spans="1:9" ht="15.75" customHeight="1" x14ac:dyDescent="0.25">
      <c r="A19" s="148" t="str">
        <f>_xlfn.TEXTJOIN(" ",TRUE,"Aukstā ūdens skaitītājs (rād:",Ūdens!J10,"-", Ūdens!K10, ")")</f>
        <v>Aukstā ūdens skaitītājs (rād: 9,86 - 13,01 )</v>
      </c>
      <c r="B19" s="149"/>
      <c r="C19" s="150"/>
      <c r="D19" s="43" t="s">
        <v>98</v>
      </c>
      <c r="E19" s="43">
        <f>Ūdens!R10</f>
        <v>3.1500000000000004</v>
      </c>
      <c r="F19" s="50">
        <f>Rēķini!G2</f>
        <v>3.2307000000000001</v>
      </c>
      <c r="G19" s="50">
        <f>ROUND(Ūdens!X10,2)</f>
        <v>10.18</v>
      </c>
    </row>
    <row r="20" spans="1:9" ht="15.75" customHeight="1" x14ac:dyDescent="0.25">
      <c r="A20" s="148" t="str">
        <f>_xlfn.TEXTJOIN(" ",TRUE,"Karstā ūdens skaitītājs (rād:",Ūdens!L10,"-", Ūdens!M10, ")")</f>
        <v>Karstā ūdens skaitītājs (rād: 12,03 - 15,6 )</v>
      </c>
      <c r="B20" s="149"/>
      <c r="C20" s="150"/>
      <c r="D20" s="43" t="s">
        <v>98</v>
      </c>
      <c r="E20" s="43">
        <f>Ūdens!S10</f>
        <v>3.5700000000000003</v>
      </c>
      <c r="F20" s="44">
        <f>Rēķini!H2</f>
        <v>6.9107000000000003</v>
      </c>
      <c r="G20" s="50">
        <f>ROUND(Ūdens!Y10,2)</f>
        <v>24.67</v>
      </c>
    </row>
    <row r="21" spans="1:9" x14ac:dyDescent="0.25">
      <c r="A21" s="145" t="s">
        <v>99</v>
      </c>
      <c r="B21" s="146"/>
      <c r="C21" s="147"/>
      <c r="D21" s="43" t="s">
        <v>114</v>
      </c>
      <c r="E21" s="43">
        <v>1</v>
      </c>
      <c r="F21" s="50">
        <f>Rēķini!I13</f>
        <v>6.77</v>
      </c>
      <c r="G21" s="50">
        <f>Rēķini!I13</f>
        <v>6.77</v>
      </c>
    </row>
    <row r="22" spans="1:9" x14ac:dyDescent="0.25">
      <c r="A22" s="145" t="s">
        <v>100</v>
      </c>
      <c r="B22" s="146"/>
      <c r="C22" s="147"/>
      <c r="D22" s="43" t="s">
        <v>101</v>
      </c>
      <c r="E22" s="43">
        <v>1</v>
      </c>
      <c r="F22" s="50">
        <f>Rēķini!J13</f>
        <v>0.8</v>
      </c>
      <c r="G22" s="50">
        <f>Rēķini!J13</f>
        <v>0.8</v>
      </c>
    </row>
    <row r="23" spans="1:9" x14ac:dyDescent="0.25">
      <c r="A23" s="145" t="s">
        <v>111</v>
      </c>
      <c r="B23" s="146"/>
      <c r="C23" s="147"/>
      <c r="D23" s="43" t="s">
        <v>112</v>
      </c>
      <c r="E23" s="43">
        <v>1</v>
      </c>
      <c r="F23" s="50">
        <f>Rēķini!K2</f>
        <v>7.11</v>
      </c>
      <c r="G23" s="50">
        <f>E23*F23</f>
        <v>7.11</v>
      </c>
    </row>
    <row r="24" spans="1:9" x14ac:dyDescent="0.25">
      <c r="A24" s="145" t="s">
        <v>102</v>
      </c>
      <c r="B24" s="146"/>
      <c r="C24" s="147"/>
      <c r="D24" s="43" t="s">
        <v>114</v>
      </c>
      <c r="E24" s="43">
        <v>1</v>
      </c>
      <c r="F24" s="50">
        <f>Rēķini!L13</f>
        <v>5.62</v>
      </c>
      <c r="G24" s="50">
        <f>Rēķini!L13</f>
        <v>5.62</v>
      </c>
    </row>
    <row r="25" spans="1:9" ht="13.5" customHeight="1" x14ac:dyDescent="0.25">
      <c r="A25" s="145" t="s">
        <v>320</v>
      </c>
      <c r="B25" s="146"/>
      <c r="C25" s="147"/>
      <c r="D25" s="52" t="s">
        <v>103</v>
      </c>
      <c r="E25" s="43">
        <v>47.1</v>
      </c>
      <c r="F25" s="54">
        <f>Rekvizīti!C33</f>
        <v>0.24759999999999999</v>
      </c>
      <c r="G25" s="50">
        <f>Rēķini!M13</f>
        <v>11.66</v>
      </c>
    </row>
    <row r="26" spans="1:9" ht="13.5" customHeight="1" x14ac:dyDescent="0.25">
      <c r="A26" s="145" t="s">
        <v>321</v>
      </c>
      <c r="B26" s="146"/>
      <c r="C26" s="147"/>
      <c r="D26" s="52" t="s">
        <v>280</v>
      </c>
      <c r="E26" s="43">
        <v>73.5</v>
      </c>
      <c r="F26" s="54">
        <f>Rekvizīti!C34</f>
        <v>9.7500000000000003E-2</v>
      </c>
      <c r="G26" s="50">
        <f>Rēķini!N13</f>
        <v>7.17</v>
      </c>
    </row>
    <row r="27" spans="1:9" ht="15.6" x14ac:dyDescent="0.25">
      <c r="A27" s="145" t="s">
        <v>104</v>
      </c>
      <c r="B27" s="146"/>
      <c r="C27" s="147"/>
      <c r="D27" s="52" t="s">
        <v>103</v>
      </c>
      <c r="E27" s="43">
        <v>47.1</v>
      </c>
      <c r="F27" s="54">
        <f>Rēķini!$O$2</f>
        <v>3.6999999999999998E-2</v>
      </c>
      <c r="G27" s="50">
        <f>Rēķini!$O$13</f>
        <v>1.74</v>
      </c>
    </row>
    <row r="28" spans="1:9" ht="13.8" thickBot="1" x14ac:dyDescent="0.3">
      <c r="A28" s="160" t="s">
        <v>262</v>
      </c>
      <c r="B28" s="161"/>
      <c r="C28" s="162"/>
      <c r="D28" s="52"/>
      <c r="E28" s="43"/>
      <c r="F28" s="54"/>
      <c r="G28" s="50">
        <f>Rēķini!Q13</f>
        <v>-30.209999999999997</v>
      </c>
    </row>
    <row r="29" spans="1:9" ht="13.8" thickBot="1" x14ac:dyDescent="0.3">
      <c r="C29" s="47"/>
      <c r="D29" s="163" t="s">
        <v>105</v>
      </c>
      <c r="E29" s="163"/>
      <c r="F29" s="164"/>
      <c r="G29" s="59">
        <f>SUM(G17:G28)</f>
        <v>73.98</v>
      </c>
    </row>
    <row r="30" spans="1:9" x14ac:dyDescent="0.25">
      <c r="D30" s="55"/>
    </row>
    <row r="31" spans="1:9" x14ac:dyDescent="0.25">
      <c r="A31" s="40" t="str">
        <f>_xlfn.TEXTJOIN(" ",TRUE,"Summa vārdiem: ",Rēķini!U13)</f>
        <v>Summa vārdiem:  Septiņdesmit trīs eiro, 98 centi</v>
      </c>
    </row>
    <row r="32" spans="1:9" x14ac:dyDescent="0.25">
      <c r="I32" s="41"/>
    </row>
    <row r="34" spans="1:1" x14ac:dyDescent="0.25">
      <c r="A34" s="41" t="str">
        <f>_xlfn.TEXTJOIN(" ",TRUE,"* Siltumenerģijas patēriņš", Rēķini!$D$30, "kopā: ",Rekvizīti!$C$19,"Mwh (",Rēķini!$E$32, "Eur)")</f>
        <v>* Siltumenerģijas patēriņš martā kopā:  7,81 Mwh ( 729,3 Eur)</v>
      </c>
    </row>
    <row r="35" spans="1:1" x14ac:dyDescent="0.25">
      <c r="A35" s="41" t="str">
        <f>_xlfn.TEXTJOIN(" ",TRUE,"** Atkritumu izvešana kopā:",Rēķini!$E$33,"EUR(1x nedēļā), aprēķināts uz 16 iedzīvotājiem")</f>
        <v>** Atkritumu izvešana kopā: 113,72 EUR(1x nedēļā), aprēķināts uz 16 iedzīvotājiem</v>
      </c>
    </row>
    <row r="36" spans="1:1" x14ac:dyDescent="0.25">
      <c r="A36" s="41" t="str">
        <f>_xlfn.TEXTJOIN(" ",TRUE,"*** Koplietošanas elektrības patēriņš", Rēķini!$D$30, "kopā: ",Rekvizīti!$C$20,"Kwh (", Rekvizīti!$C$9, "Eur)")</f>
        <v>*** Koplietošanas elektrības patēriņš martā kopā:  278,46 Kwh ( 67,43 Eur)</v>
      </c>
    </row>
    <row r="37" spans="1:1" hidden="1" x14ac:dyDescent="0.25">
      <c r="A37" s="41" t="s">
        <v>281</v>
      </c>
    </row>
    <row r="39" spans="1:1" ht="13.8" x14ac:dyDescent="0.25">
      <c r="A39" s="48"/>
    </row>
    <row r="40" spans="1:1" x14ac:dyDescent="0.25">
      <c r="A40" s="41"/>
    </row>
    <row r="41" spans="1:1" x14ac:dyDescent="0.25">
      <c r="A41" s="41"/>
    </row>
    <row r="42" spans="1:1" x14ac:dyDescent="0.25">
      <c r="A42" s="41" t="s">
        <v>106</v>
      </c>
    </row>
  </sheetData>
  <mergeCells count="19">
    <mergeCell ref="A28:C28"/>
    <mergeCell ref="A27:C27"/>
    <mergeCell ref="A26:C26"/>
    <mergeCell ref="A2:C2"/>
    <mergeCell ref="A15:C16"/>
    <mergeCell ref="D15:D16"/>
    <mergeCell ref="E15:E16"/>
    <mergeCell ref="A17:C17"/>
    <mergeCell ref="D29:F29"/>
    <mergeCell ref="A22:C22"/>
    <mergeCell ref="A23:C23"/>
    <mergeCell ref="A24:C24"/>
    <mergeCell ref="A25:C25"/>
    <mergeCell ref="G15:G16"/>
    <mergeCell ref="A18:C18"/>
    <mergeCell ref="A19:C19"/>
    <mergeCell ref="A20:C20"/>
    <mergeCell ref="A21:C21"/>
    <mergeCell ref="F15:F16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14708-E9CB-47D1-9E18-9304A3E76CDD}">
  <sheetPr codeName="Sheet15"/>
  <dimension ref="A2:I44"/>
  <sheetViews>
    <sheetView workbookViewId="0">
      <selection activeCell="A23" sqref="A23:C23"/>
    </sheetView>
  </sheetViews>
  <sheetFormatPr defaultRowHeight="13.2" x14ac:dyDescent="0.25"/>
  <cols>
    <col min="1" max="1" width="28.109375" customWidth="1"/>
    <col min="2" max="2" width="10.5546875" customWidth="1"/>
    <col min="3" max="3" width="8" customWidth="1"/>
    <col min="4" max="4" width="11.88671875" customWidth="1"/>
    <col min="7" max="7" width="13" customWidth="1"/>
  </cols>
  <sheetData>
    <row r="2" spans="1:7" x14ac:dyDescent="0.25">
      <c r="A2" s="165">
        <f ca="1">TODAY()</f>
        <v>46135</v>
      </c>
      <c r="B2" s="165"/>
      <c r="C2" s="165"/>
      <c r="E2" s="16" t="str">
        <f>_xlfn.TEXTJOIN("",TRUE,"Rēķins Nr. B",Rēķini!A1,Rēķini!D2,"0",Rekvizīti!C3+9)</f>
        <v>Rēķins Nr. B2026040445</v>
      </c>
      <c r="G2" s="39"/>
    </row>
    <row r="3" spans="1:7" x14ac:dyDescent="0.25">
      <c r="A3" s="40"/>
      <c r="B3" s="40"/>
    </row>
    <row r="4" spans="1:7" x14ac:dyDescent="0.25">
      <c r="A4" s="40" t="s">
        <v>218</v>
      </c>
      <c r="B4" s="40"/>
      <c r="E4" s="40" t="s">
        <v>237</v>
      </c>
    </row>
    <row r="5" spans="1:7" x14ac:dyDescent="0.25">
      <c r="A5" s="40" t="s">
        <v>219</v>
      </c>
      <c r="B5" s="41"/>
      <c r="E5" s="41" t="s">
        <v>238</v>
      </c>
    </row>
    <row r="6" spans="1:7" x14ac:dyDescent="0.25">
      <c r="A6" s="40" t="s">
        <v>220</v>
      </c>
      <c r="B6" s="40"/>
      <c r="D6" s="41"/>
    </row>
    <row r="7" spans="1:7" x14ac:dyDescent="0.25">
      <c r="A7" s="40" t="s">
        <v>221</v>
      </c>
      <c r="B7" s="40"/>
      <c r="D7" s="41"/>
    </row>
    <row r="8" spans="1:7" x14ac:dyDescent="0.25">
      <c r="A8" s="40" t="s">
        <v>222</v>
      </c>
      <c r="B8" s="40"/>
      <c r="D8" s="41"/>
    </row>
    <row r="9" spans="1:7" x14ac:dyDescent="0.25">
      <c r="A9" s="40"/>
      <c r="B9" s="40"/>
      <c r="D9" s="41"/>
    </row>
    <row r="10" spans="1:7" x14ac:dyDescent="0.25">
      <c r="A10" s="53" t="str">
        <f>_xlfn.TEXTJOIN("",TRUE,"Komunālo pakalpojumu sniegšanas periods: ","2025. gada ",Rēķini!$D$1)</f>
        <v>Komunālo pakalpojumu sniegšanas periods: 2025. gada MARTS</v>
      </c>
    </row>
    <row r="11" spans="1:7" x14ac:dyDescent="0.25">
      <c r="A11" s="53" t="str">
        <f>_xlfn.TEXTJOIN("",TRUE,"Apsaimniekošana: ",Rēķini!$A$1,". gada ",Rēķini!$E$1)</f>
        <v>Apsaimniekošana: 2026. gada APRĪLIS</v>
      </c>
    </row>
    <row r="12" spans="1:7" x14ac:dyDescent="0.25">
      <c r="A12" s="53"/>
    </row>
    <row r="14" spans="1:7" x14ac:dyDescent="0.25">
      <c r="A14" s="39" t="s">
        <v>91</v>
      </c>
      <c r="B14" s="42">
        <f>DATE(Rēķini!A1,Rēķini!$D$2,30)</f>
        <v>46142</v>
      </c>
    </row>
    <row r="15" spans="1:7" ht="13.8" thickBot="1" x14ac:dyDescent="0.3"/>
    <row r="16" spans="1:7" x14ac:dyDescent="0.25">
      <c r="A16" s="151" t="s">
        <v>92</v>
      </c>
      <c r="B16" s="152"/>
      <c r="C16" s="153"/>
      <c r="D16" s="143" t="s">
        <v>93</v>
      </c>
      <c r="E16" s="143" t="s">
        <v>94</v>
      </c>
      <c r="F16" s="143" t="s">
        <v>95</v>
      </c>
      <c r="G16" s="143" t="s">
        <v>96</v>
      </c>
    </row>
    <row r="17" spans="1:7" ht="13.8" thickBot="1" x14ac:dyDescent="0.3">
      <c r="A17" s="184"/>
      <c r="B17" s="185"/>
      <c r="C17" s="186"/>
      <c r="D17" s="187"/>
      <c r="E17" s="187"/>
      <c r="F17" s="187"/>
      <c r="G17" s="187"/>
    </row>
    <row r="18" spans="1:7" ht="15.6" x14ac:dyDescent="0.25">
      <c r="A18" s="167" t="s">
        <v>213</v>
      </c>
      <c r="B18" s="168"/>
      <c r="C18" s="168"/>
      <c r="D18" s="106" t="s">
        <v>103</v>
      </c>
      <c r="E18" s="107">
        <v>64.400000000000006</v>
      </c>
      <c r="F18" s="133">
        <v>0.60440000000000005</v>
      </c>
      <c r="G18" s="108">
        <f>E18*F18</f>
        <v>38.92336000000001</v>
      </c>
    </row>
    <row r="19" spans="1:7" x14ac:dyDescent="0.25">
      <c r="A19" s="145" t="s">
        <v>97</v>
      </c>
      <c r="B19" s="146"/>
      <c r="C19" s="146"/>
      <c r="D19" s="52"/>
      <c r="E19" s="52"/>
      <c r="F19" s="109"/>
      <c r="G19" s="109"/>
    </row>
    <row r="20" spans="1:7" ht="15.75" customHeight="1" x14ac:dyDescent="0.25">
      <c r="A20" s="148" t="str">
        <f>_xlfn.TEXTJOIN(" ",TRUE,"Aukstā ūdens skaitītājs virt. (rād:",Ūdens!J11,"-", Ūdens!K11, ")")</f>
        <v>Aukstā ūdens skaitītājs virt. (rād: 4,36 - 5,86 )</v>
      </c>
      <c r="B20" s="149"/>
      <c r="C20" s="149"/>
      <c r="D20" s="52" t="s">
        <v>98</v>
      </c>
      <c r="E20" s="52">
        <f>Ūdens!R11</f>
        <v>1.5</v>
      </c>
      <c r="F20" s="62">
        <f>Rēķini!G2</f>
        <v>3.2307000000000001</v>
      </c>
      <c r="G20" s="62">
        <f>Ūdens!X11</f>
        <v>4.8499999999999996</v>
      </c>
    </row>
    <row r="21" spans="1:7" ht="15.75" customHeight="1" x14ac:dyDescent="0.25">
      <c r="A21" s="148" t="str">
        <f>_xlfn.TEXTJOIN(" ",TRUE,"Karstā ūdens skaitītājs virt. (rād:",Ūdens!L11,"-", Ūdens!M11, ")")</f>
        <v>Karstā ūdens skaitītājs virt. (rād: 4,87 - 6,15 )</v>
      </c>
      <c r="B21" s="149"/>
      <c r="C21" s="149"/>
      <c r="D21" s="52" t="s">
        <v>98</v>
      </c>
      <c r="E21" s="52">
        <f>Ūdens!S11</f>
        <v>1.2800000000000002</v>
      </c>
      <c r="F21" s="109">
        <f>Rēķini!H2</f>
        <v>6.9107000000000003</v>
      </c>
      <c r="G21" s="62">
        <f>Ūdens!Y11</f>
        <v>8.85</v>
      </c>
    </row>
    <row r="22" spans="1:7" ht="15.75" customHeight="1" x14ac:dyDescent="0.25">
      <c r="A22" s="148" t="str">
        <f>_xlfn.TEXTJOIN(" ",TRUE,"Aukstā ūdens skaitītājs WC (rād:",Ūdens!N11,"-", Ūdens!O11, ")")</f>
        <v>Aukstā ūdens skaitītājs WC (rād: 27,12 - 33,7 )</v>
      </c>
      <c r="B22" s="149"/>
      <c r="C22" s="149"/>
      <c r="D22" s="52" t="s">
        <v>98</v>
      </c>
      <c r="E22" s="52">
        <f>Ūdens!T11</f>
        <v>6.5800000000000018</v>
      </c>
      <c r="F22" s="62">
        <f>Rēķini!G2</f>
        <v>3.2307000000000001</v>
      </c>
      <c r="G22" s="62">
        <f>Ūdens!Z11</f>
        <v>21.26</v>
      </c>
    </row>
    <row r="23" spans="1:7" ht="15.75" customHeight="1" x14ac:dyDescent="0.25">
      <c r="A23" s="148" t="str">
        <f>_xlfn.TEXTJOIN(" ",TRUE,"Karstā ūdens skaitītājs WC (rād:",Ūdens!P11,"-", Ūdens!Q11, ")")</f>
        <v>Karstā ūdens skaitītājs WC (rād: 18,54 - 23,08 )</v>
      </c>
      <c r="B23" s="149"/>
      <c r="C23" s="149"/>
      <c r="D23" s="52" t="s">
        <v>98</v>
      </c>
      <c r="E23" s="52">
        <f>Ūdens!U11</f>
        <v>4.5399999999999991</v>
      </c>
      <c r="F23" s="109">
        <f>Rēķini!H2</f>
        <v>6.9107000000000003</v>
      </c>
      <c r="G23" s="62">
        <f>Ūdens!AA11</f>
        <v>31.37</v>
      </c>
    </row>
    <row r="24" spans="1:7" x14ac:dyDescent="0.25">
      <c r="A24" s="145" t="s">
        <v>99</v>
      </c>
      <c r="B24" s="146"/>
      <c r="C24" s="146"/>
      <c r="D24" s="52" t="s">
        <v>114</v>
      </c>
      <c r="E24" s="52">
        <v>1</v>
      </c>
      <c r="F24" s="62">
        <f>Rēķini!I12</f>
        <v>13.54</v>
      </c>
      <c r="G24" s="62">
        <f>Rēķini!I14</f>
        <v>13.54</v>
      </c>
    </row>
    <row r="25" spans="1:7" x14ac:dyDescent="0.25">
      <c r="A25" s="145" t="s">
        <v>100</v>
      </c>
      <c r="B25" s="146"/>
      <c r="C25" s="146"/>
      <c r="D25" s="52" t="s">
        <v>101</v>
      </c>
      <c r="E25" s="52">
        <v>1</v>
      </c>
      <c r="F25" s="62">
        <f>Rēķini!J12</f>
        <v>0.8</v>
      </c>
      <c r="G25" s="62">
        <f>Rēķini!J14</f>
        <v>0.8</v>
      </c>
    </row>
    <row r="26" spans="1:7" x14ac:dyDescent="0.25">
      <c r="A26" s="145" t="s">
        <v>111</v>
      </c>
      <c r="B26" s="146"/>
      <c r="C26" s="146"/>
      <c r="D26" s="52" t="s">
        <v>112</v>
      </c>
      <c r="E26" s="52">
        <v>3</v>
      </c>
      <c r="F26" s="62">
        <f>Rēķini!K2</f>
        <v>7.11</v>
      </c>
      <c r="G26" s="62">
        <f>E26*F26</f>
        <v>21.330000000000002</v>
      </c>
    </row>
    <row r="27" spans="1:7" x14ac:dyDescent="0.25">
      <c r="A27" s="145" t="s">
        <v>102</v>
      </c>
      <c r="B27" s="146"/>
      <c r="C27" s="146"/>
      <c r="D27" s="52" t="s">
        <v>114</v>
      </c>
      <c r="E27" s="52">
        <v>1</v>
      </c>
      <c r="F27" s="62">
        <f>Rēķini!L12</f>
        <v>5.62</v>
      </c>
      <c r="G27" s="62">
        <f>Rēķini!L14</f>
        <v>5.62</v>
      </c>
    </row>
    <row r="28" spans="1:7" ht="15.6" x14ac:dyDescent="0.25">
      <c r="A28" s="145" t="s">
        <v>320</v>
      </c>
      <c r="B28" s="146"/>
      <c r="C28" s="147"/>
      <c r="D28" s="52" t="s">
        <v>103</v>
      </c>
      <c r="E28" s="43">
        <v>64.400000000000006</v>
      </c>
      <c r="F28" s="54">
        <f>Rekvizīti!C33</f>
        <v>0.24759999999999999</v>
      </c>
      <c r="G28" s="50">
        <f>Rēķini!M14</f>
        <v>15.95</v>
      </c>
    </row>
    <row r="29" spans="1:7" x14ac:dyDescent="0.25">
      <c r="A29" s="145" t="s">
        <v>321</v>
      </c>
      <c r="B29" s="146"/>
      <c r="C29" s="147"/>
      <c r="D29" s="52" t="s">
        <v>280</v>
      </c>
      <c r="E29" s="43">
        <v>485.68799999999999</v>
      </c>
      <c r="F29" s="54">
        <f>Rekvizīti!C34</f>
        <v>9.7500000000000003E-2</v>
      </c>
      <c r="G29" s="50">
        <f>Rēķini!N14</f>
        <v>47.36</v>
      </c>
    </row>
    <row r="30" spans="1:7" ht="16.2" thickBot="1" x14ac:dyDescent="0.3">
      <c r="A30" s="160" t="s">
        <v>104</v>
      </c>
      <c r="B30" s="161"/>
      <c r="C30" s="161"/>
      <c r="D30" s="60" t="s">
        <v>103</v>
      </c>
      <c r="E30" s="60">
        <v>64.400000000000006</v>
      </c>
      <c r="F30" s="134">
        <f>Rēķini!O2</f>
        <v>3.6999999999999998E-2</v>
      </c>
      <c r="G30" s="128">
        <f>Rēķini!O14</f>
        <v>2.38</v>
      </c>
    </row>
    <row r="31" spans="1:7" ht="13.8" thickBot="1" x14ac:dyDescent="0.3">
      <c r="C31" s="47"/>
      <c r="D31" s="166" t="s">
        <v>199</v>
      </c>
      <c r="E31" s="166"/>
      <c r="F31" s="170"/>
      <c r="G31" s="56">
        <f>SUM(G18:G30)</f>
        <v>212.23336</v>
      </c>
    </row>
    <row r="32" spans="1:7" x14ac:dyDescent="0.25">
      <c r="D32" s="55"/>
    </row>
    <row r="33" spans="1:9" x14ac:dyDescent="0.25">
      <c r="A33" s="40" t="str">
        <f>_xlfn.TEXTJOIN(" ",TRUE,"Summa vārdiem: ",Rēķini!U14)</f>
        <v>Summa vārdiem:  Divi simti divpadsmit eiro, 23 centi</v>
      </c>
    </row>
    <row r="34" spans="1:9" x14ac:dyDescent="0.25">
      <c r="I34" s="41"/>
    </row>
    <row r="36" spans="1:9" x14ac:dyDescent="0.25">
      <c r="A36" s="41" t="str">
        <f>_xlfn.TEXTJOIN(" ",TRUE,"* Siltumenerģijas patēriņš", Rēķini!$D$30, "kopā: ",Rekvizīti!$C$19,"Mwh (",Rēķini!$E$32, "Eur)")</f>
        <v>* Siltumenerģijas patēriņš martā kopā:  7,81 Mwh ( 729,3 Eur)</v>
      </c>
    </row>
    <row r="37" spans="1:9" x14ac:dyDescent="0.25">
      <c r="A37" s="41" t="str">
        <f>_xlfn.TEXTJOIN(" ",TRUE,"** Atkritumu izvešana kopā:",Rēķini!$E$33,"EUR(1x nedēļā), aprēķināts uz 16 iedzīvotājiem")</f>
        <v>** Atkritumu izvešana kopā: 113,72 EUR(1x nedēļā), aprēķināts uz 16 iedzīvotājiem</v>
      </c>
    </row>
    <row r="38" spans="1:9" x14ac:dyDescent="0.25">
      <c r="A38" s="41" t="str">
        <f>_xlfn.TEXTJOIN(" ",TRUE,"*** Koplietošanas elektrības patēriņš", Rēķini!$D$30, "kopā: ",Rekvizīti!$C$20,"Kwh (", Rekvizīti!$C$9, "Eur)")</f>
        <v>*** Koplietošanas elektrības patēriņš martā kopā:  278,46 Kwh ( 67,43 Eur)</v>
      </c>
    </row>
    <row r="39" spans="1:9" hidden="1" x14ac:dyDescent="0.25">
      <c r="A39" s="41" t="s">
        <v>281</v>
      </c>
    </row>
    <row r="41" spans="1:9" ht="13.8" x14ac:dyDescent="0.25">
      <c r="A41" s="48"/>
    </row>
    <row r="42" spans="1:9" x14ac:dyDescent="0.25">
      <c r="A42" s="41"/>
    </row>
    <row r="43" spans="1:9" x14ac:dyDescent="0.25">
      <c r="A43" s="41"/>
    </row>
    <row r="44" spans="1:9" x14ac:dyDescent="0.25">
      <c r="A44" s="41" t="s">
        <v>106</v>
      </c>
    </row>
  </sheetData>
  <mergeCells count="20">
    <mergeCell ref="A30:C30"/>
    <mergeCell ref="A28:C28"/>
    <mergeCell ref="G16:G17"/>
    <mergeCell ref="A19:C19"/>
    <mergeCell ref="A20:C20"/>
    <mergeCell ref="A21:C21"/>
    <mergeCell ref="A22:C22"/>
    <mergeCell ref="E16:E17"/>
    <mergeCell ref="A18:C18"/>
    <mergeCell ref="A29:C29"/>
    <mergeCell ref="A2:C2"/>
    <mergeCell ref="A16:C17"/>
    <mergeCell ref="D16:D17"/>
    <mergeCell ref="D31:F31"/>
    <mergeCell ref="A23:C23"/>
    <mergeCell ref="A24:C24"/>
    <mergeCell ref="A25:C25"/>
    <mergeCell ref="A26:C26"/>
    <mergeCell ref="F16:F17"/>
    <mergeCell ref="A27:C27"/>
  </mergeCells>
  <pageMargins left="0.7" right="0.7" top="0.75" bottom="0.75" header="0.3" footer="0.3"/>
  <pageSetup paperSize="9" orientation="portrait" r:id="rId1"/>
  <ignoredErrors>
    <ignoredError sqref="F21:F22" 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58049-4B6B-43DA-9B01-4757EF7026B7}">
  <sheetPr codeName="Sheet16"/>
  <dimension ref="A2:I45"/>
  <sheetViews>
    <sheetView workbookViewId="0">
      <selection activeCell="E29" sqref="E29"/>
    </sheetView>
  </sheetViews>
  <sheetFormatPr defaultRowHeight="13.2" x14ac:dyDescent="0.25"/>
  <cols>
    <col min="1" max="1" width="28.109375" customWidth="1"/>
    <col min="2" max="2" width="10.5546875" customWidth="1"/>
    <col min="3" max="3" width="8" customWidth="1"/>
    <col min="4" max="4" width="10.6640625" customWidth="1"/>
    <col min="7" max="7" width="12.109375" customWidth="1"/>
    <col min="8" max="8" width="11" bestFit="1" customWidth="1"/>
  </cols>
  <sheetData>
    <row r="2" spans="1:7" x14ac:dyDescent="0.25">
      <c r="A2" s="165">
        <f ca="1">TODAY()</f>
        <v>46135</v>
      </c>
      <c r="B2" s="165"/>
      <c r="C2" s="165"/>
      <c r="E2" s="16" t="str">
        <f>_xlfn.TEXTJOIN("",TRUE,"Rēķins Nr. B",Rēķini!A1,Rēķini!D2,"0",Rekvizīti!C3+10)</f>
        <v>Rēķins Nr. B2026040446</v>
      </c>
      <c r="G2" s="39"/>
    </row>
    <row r="3" spans="1:7" x14ac:dyDescent="0.25">
      <c r="A3" s="40"/>
      <c r="B3" s="40"/>
    </row>
    <row r="4" spans="1:7" x14ac:dyDescent="0.25">
      <c r="A4" s="40" t="s">
        <v>218</v>
      </c>
      <c r="B4" s="40"/>
      <c r="E4" s="40" t="s">
        <v>263</v>
      </c>
    </row>
    <row r="5" spans="1:7" x14ac:dyDescent="0.25">
      <c r="A5" s="40" t="s">
        <v>219</v>
      </c>
      <c r="B5" s="41"/>
      <c r="E5" s="41" t="s">
        <v>239</v>
      </c>
    </row>
    <row r="6" spans="1:7" x14ac:dyDescent="0.25">
      <c r="A6" s="40" t="s">
        <v>220</v>
      </c>
      <c r="B6" s="41"/>
      <c r="D6" s="41"/>
    </row>
    <row r="7" spans="1:7" x14ac:dyDescent="0.25">
      <c r="A7" s="40" t="s">
        <v>221</v>
      </c>
      <c r="B7" s="41"/>
      <c r="D7" s="41"/>
    </row>
    <row r="8" spans="1:7" x14ac:dyDescent="0.25">
      <c r="A8" s="40" t="s">
        <v>222</v>
      </c>
      <c r="B8" s="41"/>
      <c r="D8" s="41"/>
    </row>
    <row r="9" spans="1:7" x14ac:dyDescent="0.25">
      <c r="A9" s="40"/>
      <c r="B9" s="40"/>
      <c r="D9" s="41"/>
    </row>
    <row r="10" spans="1:7" x14ac:dyDescent="0.25">
      <c r="A10" s="53" t="str">
        <f>_xlfn.TEXTJOIN("",TRUE,"Komunālo pakalpojumu sniegšanas periods: ","2025. gada ",Rēķini!$D$1)</f>
        <v>Komunālo pakalpojumu sniegšanas periods: 2025. gada MARTS</v>
      </c>
    </row>
    <row r="11" spans="1:7" x14ac:dyDescent="0.25">
      <c r="A11" s="53" t="str">
        <f>_xlfn.TEXTJOIN("",TRUE,"Apsaimniekošana: ",Rēķini!$A$1,". gada ",Rēķini!$E$1)</f>
        <v>Apsaimniekošana: 2026. gada APRĪLIS</v>
      </c>
    </row>
    <row r="13" spans="1:7" x14ac:dyDescent="0.25">
      <c r="A13" s="39" t="s">
        <v>91</v>
      </c>
      <c r="B13" s="42">
        <f>DATE(Rēķini!A1,Rēķini!$D$2,30)</f>
        <v>46142</v>
      </c>
    </row>
    <row r="14" spans="1:7" ht="13.8" thickBot="1" x14ac:dyDescent="0.3"/>
    <row r="15" spans="1:7" x14ac:dyDescent="0.25">
      <c r="A15" s="151" t="s">
        <v>92</v>
      </c>
      <c r="B15" s="152"/>
      <c r="C15" s="153"/>
      <c r="D15" s="143" t="s">
        <v>93</v>
      </c>
      <c r="E15" s="143" t="s">
        <v>94</v>
      </c>
      <c r="F15" s="143" t="s">
        <v>95</v>
      </c>
      <c r="G15" s="143" t="s">
        <v>96</v>
      </c>
    </row>
    <row r="16" spans="1:7" ht="13.8" thickBot="1" x14ac:dyDescent="0.3">
      <c r="A16" s="154"/>
      <c r="B16" s="155"/>
      <c r="C16" s="156"/>
      <c r="D16" s="144"/>
      <c r="E16" s="144"/>
      <c r="F16" s="144"/>
      <c r="G16" s="144"/>
    </row>
    <row r="17" spans="1:7" ht="15.6" x14ac:dyDescent="0.25">
      <c r="A17" s="167" t="s">
        <v>213</v>
      </c>
      <c r="B17" s="168"/>
      <c r="C17" s="168"/>
      <c r="D17" s="106" t="s">
        <v>103</v>
      </c>
      <c r="E17" s="107">
        <v>99.1</v>
      </c>
      <c r="F17" s="105">
        <v>0.60440000000000005</v>
      </c>
      <c r="G17" s="108">
        <f>ROUND(E17*F17,2)</f>
        <v>59.9</v>
      </c>
    </row>
    <row r="18" spans="1:7" x14ac:dyDescent="0.25">
      <c r="A18" s="145" t="s">
        <v>97</v>
      </c>
      <c r="B18" s="146"/>
      <c r="C18" s="147"/>
      <c r="D18" s="43"/>
      <c r="E18" s="43"/>
      <c r="F18" s="44"/>
      <c r="G18" s="50"/>
    </row>
    <row r="19" spans="1:7" ht="15.75" customHeight="1" x14ac:dyDescent="0.25">
      <c r="A19" s="148" t="str">
        <f>_xlfn.TEXTJOIN(" ",TRUE,"Aukstā ūdens skaitītājs virt. (rād:",Ūdens!J12,"-", Ūdens!K12, ")")</f>
        <v>Aukstā ūdens skaitītājs virt. (rād: 5,62 - 6,97 )</v>
      </c>
      <c r="B19" s="149"/>
      <c r="C19" s="150"/>
      <c r="D19" s="43" t="s">
        <v>98</v>
      </c>
      <c r="E19" s="43">
        <f>Ūdens!R12</f>
        <v>1.3499999999999996</v>
      </c>
      <c r="F19" s="50">
        <f>Rēķini!G2</f>
        <v>3.2307000000000001</v>
      </c>
      <c r="G19" s="50">
        <f>Ūdens!X12</f>
        <v>4.3600000000000003</v>
      </c>
    </row>
    <row r="20" spans="1:7" ht="15.75" customHeight="1" x14ac:dyDescent="0.25">
      <c r="A20" s="148" t="str">
        <f>_xlfn.TEXTJOIN(" ",TRUE,"Karstā ūdens skaitītājs virt.  (rād:",Ūdens!L12,"-", Ūdens!M12, ")")</f>
        <v>Karstā ūdens skaitītājs virt.  (rād: 2,08 - 2,66 )</v>
      </c>
      <c r="B20" s="149"/>
      <c r="C20" s="150"/>
      <c r="D20" s="43" t="s">
        <v>98</v>
      </c>
      <c r="E20" s="43">
        <f>Ūdens!S12</f>
        <v>0.58000000000000007</v>
      </c>
      <c r="F20" s="44">
        <f>Rēķini!H2</f>
        <v>6.9107000000000003</v>
      </c>
      <c r="G20" s="50">
        <f>Ūdens!Y12</f>
        <v>4.01</v>
      </c>
    </row>
    <row r="21" spans="1:7" ht="15.75" customHeight="1" x14ac:dyDescent="0.25">
      <c r="A21" s="148" t="str">
        <f>_xlfn.TEXTJOIN(" ",TRUE,"Aukstā ūdens skaitītājs WC (rād:",Ūdens!N12,"-", Ūdens!O12, ")")</f>
        <v>Aukstā ūdens skaitītājs WC (rād: 20,33 - 24,64 )</v>
      </c>
      <c r="B21" s="149"/>
      <c r="C21" s="150"/>
      <c r="D21" s="43" t="s">
        <v>98</v>
      </c>
      <c r="E21" s="43">
        <f>Ūdens!T12</f>
        <v>4.3100000000000023</v>
      </c>
      <c r="F21" s="50">
        <f>Rēķini!G2</f>
        <v>3.2307000000000001</v>
      </c>
      <c r="G21" s="50">
        <f>Ūdens!Z12</f>
        <v>13.92</v>
      </c>
    </row>
    <row r="22" spans="1:7" ht="15.75" customHeight="1" x14ac:dyDescent="0.25">
      <c r="A22" s="148" t="str">
        <f>_xlfn.TEXTJOIN(" ",TRUE,"Karstā ūdens skaitītājs WC (rād:",Ūdens!P12,"-", Ūdens!Q12, ")")</f>
        <v>Karstā ūdens skaitītājs WC (rād: 6,59 - 8,1 )</v>
      </c>
      <c r="B22" s="149"/>
      <c r="C22" s="150"/>
      <c r="D22" s="43" t="s">
        <v>98</v>
      </c>
      <c r="E22" s="43">
        <f>Ūdens!U12</f>
        <v>1.5099999999999998</v>
      </c>
      <c r="F22" s="44">
        <f>Rēķini!H2</f>
        <v>6.9107000000000003</v>
      </c>
      <c r="G22" s="50">
        <f>Ūdens!AA12</f>
        <v>10.44</v>
      </c>
    </row>
    <row r="23" spans="1:7" x14ac:dyDescent="0.25">
      <c r="A23" s="145" t="s">
        <v>99</v>
      </c>
      <c r="B23" s="146"/>
      <c r="C23" s="147"/>
      <c r="D23" s="43" t="s">
        <v>114</v>
      </c>
      <c r="E23" s="43">
        <v>1</v>
      </c>
      <c r="F23" s="50">
        <f>Rēķini!I15</f>
        <v>16.920000000000002</v>
      </c>
      <c r="G23" s="50">
        <f>Rēķini!I15</f>
        <v>16.920000000000002</v>
      </c>
    </row>
    <row r="24" spans="1:7" x14ac:dyDescent="0.25">
      <c r="A24" s="145" t="s">
        <v>100</v>
      </c>
      <c r="B24" s="146"/>
      <c r="C24" s="147"/>
      <c r="D24" s="43" t="s">
        <v>101</v>
      </c>
      <c r="E24" s="43">
        <v>1</v>
      </c>
      <c r="F24" s="50">
        <f>Rēķini!J15</f>
        <v>0.8</v>
      </c>
      <c r="G24" s="50">
        <f>Rēķini!J15</f>
        <v>0.8</v>
      </c>
    </row>
    <row r="25" spans="1:7" x14ac:dyDescent="0.25">
      <c r="A25" s="145" t="s">
        <v>111</v>
      </c>
      <c r="B25" s="146"/>
      <c r="C25" s="147"/>
      <c r="D25" s="43" t="s">
        <v>112</v>
      </c>
      <c r="E25" s="43">
        <v>2</v>
      </c>
      <c r="F25" s="50">
        <f>Rēķini!K2</f>
        <v>7.11</v>
      </c>
      <c r="G25" s="50">
        <f>E25*F25</f>
        <v>14.22</v>
      </c>
    </row>
    <row r="26" spans="1:7" ht="12" customHeight="1" x14ac:dyDescent="0.25">
      <c r="A26" s="145" t="s">
        <v>102</v>
      </c>
      <c r="B26" s="146"/>
      <c r="C26" s="147"/>
      <c r="D26" s="43" t="s">
        <v>114</v>
      </c>
      <c r="E26" s="43">
        <v>1</v>
      </c>
      <c r="F26" s="50">
        <f>Rēķini!L15</f>
        <v>5.62</v>
      </c>
      <c r="G26" s="50">
        <f>Rēķini!L15</f>
        <v>5.62</v>
      </c>
    </row>
    <row r="27" spans="1:7" ht="11.25" customHeight="1" x14ac:dyDescent="0.25">
      <c r="A27" s="145" t="s">
        <v>320</v>
      </c>
      <c r="B27" s="146"/>
      <c r="C27" s="147"/>
      <c r="D27" s="52" t="s">
        <v>103</v>
      </c>
      <c r="E27" s="43">
        <v>93.7</v>
      </c>
      <c r="F27" s="54">
        <f>Rekvizīti!C33</f>
        <v>0.24759999999999999</v>
      </c>
      <c r="G27" s="50">
        <f>Rēķini!M15</f>
        <v>23.2</v>
      </c>
    </row>
    <row r="28" spans="1:7" ht="11.25" customHeight="1" x14ac:dyDescent="0.25">
      <c r="A28" s="145" t="s">
        <v>321</v>
      </c>
      <c r="B28" s="146"/>
      <c r="C28" s="147"/>
      <c r="D28" s="52" t="s">
        <v>280</v>
      </c>
      <c r="E28" s="43">
        <v>182.92679999999999</v>
      </c>
      <c r="F28" s="54">
        <f>Rekvizīti!C34</f>
        <v>9.7500000000000003E-2</v>
      </c>
      <c r="G28" s="50">
        <f>Rēķini!N15</f>
        <v>17.84</v>
      </c>
    </row>
    <row r="29" spans="1:7" ht="16.2" thickBot="1" x14ac:dyDescent="0.3">
      <c r="A29" s="160" t="s">
        <v>104</v>
      </c>
      <c r="B29" s="161"/>
      <c r="C29" s="162"/>
      <c r="D29" s="60" t="s">
        <v>103</v>
      </c>
      <c r="E29" s="45">
        <v>93.7</v>
      </c>
      <c r="F29" s="46">
        <f>Rēķini!O2</f>
        <v>3.6999999999999998E-2</v>
      </c>
      <c r="G29" s="51">
        <f>Rēķini!O15</f>
        <v>3.67</v>
      </c>
    </row>
    <row r="30" spans="1:7" ht="13.8" thickBot="1" x14ac:dyDescent="0.3">
      <c r="C30" s="47"/>
      <c r="D30" s="166" t="s">
        <v>200</v>
      </c>
      <c r="E30" s="166"/>
      <c r="F30" s="170"/>
      <c r="G30" s="87">
        <f>SUM(G17:G29)</f>
        <v>174.89999999999998</v>
      </c>
    </row>
    <row r="31" spans="1:7" x14ac:dyDescent="0.25">
      <c r="C31" s="47"/>
      <c r="D31" s="57"/>
      <c r="E31" s="57"/>
      <c r="F31" s="57"/>
      <c r="G31" s="89"/>
    </row>
    <row r="32" spans="1:7" x14ac:dyDescent="0.25">
      <c r="C32" s="47"/>
      <c r="D32" s="57"/>
      <c r="E32" s="57"/>
      <c r="F32" s="57"/>
      <c r="G32" s="88"/>
    </row>
    <row r="33" spans="1:9" x14ac:dyDescent="0.25">
      <c r="D33" s="55"/>
    </row>
    <row r="34" spans="1:9" x14ac:dyDescent="0.25">
      <c r="A34" s="40" t="str">
        <f>_xlfn.TEXTJOIN(" ",TRUE,"Summa vārdiem: ",Rēķini!U15)</f>
        <v>Summa vārdiem:  Viens simts septiņdesmit četri eiro, 90 centi</v>
      </c>
    </row>
    <row r="35" spans="1:9" x14ac:dyDescent="0.25">
      <c r="I35" s="41"/>
    </row>
    <row r="37" spans="1:9" x14ac:dyDescent="0.25">
      <c r="A37" s="41" t="str">
        <f>_xlfn.TEXTJOIN(" ",TRUE,"* Siltumenerģijas patēriņš", Rēķini!$D$30, "kopā: ",Rekvizīti!$C$19,"Mwh (",Rēķini!$E$32, "Eur)")</f>
        <v>* Siltumenerģijas patēriņš martā kopā:  7,81 Mwh ( 729,3 Eur)</v>
      </c>
    </row>
    <row r="38" spans="1:9" x14ac:dyDescent="0.25">
      <c r="A38" s="41" t="str">
        <f>_xlfn.TEXTJOIN(" ",TRUE,"** Atkritumu izvešana kopā:",Rēķini!$E$33,"EUR(1x nedēļā), aprēķināts uz 16 iedzīvotājiem")</f>
        <v>** Atkritumu izvešana kopā: 113,72 EUR(1x nedēļā), aprēķināts uz 16 iedzīvotājiem</v>
      </c>
    </row>
    <row r="39" spans="1:9" x14ac:dyDescent="0.25">
      <c r="A39" s="41" t="str">
        <f>_xlfn.TEXTJOIN(" ",TRUE,"*** Koplietošanas elektrības patēriņš", Rēķini!$D$30, "kopā: ",Rekvizīti!$C$20,"Kwh (", Rekvizīti!$C$9, "Eur)")</f>
        <v>*** Koplietošanas elektrības patēriņš martā kopā:  278,46 Kwh ( 67,43 Eur)</v>
      </c>
    </row>
    <row r="40" spans="1:9" hidden="1" x14ac:dyDescent="0.25">
      <c r="A40" s="41" t="s">
        <v>281</v>
      </c>
    </row>
    <row r="42" spans="1:9" ht="13.8" x14ac:dyDescent="0.25">
      <c r="A42" s="48"/>
    </row>
    <row r="43" spans="1:9" x14ac:dyDescent="0.25">
      <c r="A43" s="41"/>
    </row>
    <row r="44" spans="1:9" x14ac:dyDescent="0.25">
      <c r="A44" s="41"/>
    </row>
    <row r="45" spans="1:9" x14ac:dyDescent="0.25">
      <c r="A45" s="41" t="s">
        <v>106</v>
      </c>
    </row>
  </sheetData>
  <mergeCells count="20">
    <mergeCell ref="F15:F16"/>
    <mergeCell ref="G15:G16"/>
    <mergeCell ref="A18:C18"/>
    <mergeCell ref="A19:C19"/>
    <mergeCell ref="A20:C20"/>
    <mergeCell ref="A2:C2"/>
    <mergeCell ref="A15:C16"/>
    <mergeCell ref="D15:D16"/>
    <mergeCell ref="E15:E16"/>
    <mergeCell ref="A17:C17"/>
    <mergeCell ref="A21:C21"/>
    <mergeCell ref="A29:C29"/>
    <mergeCell ref="D30:F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.3" footer="0.3"/>
  <pageSetup paperSize="9" orientation="portrait" r:id="rId1"/>
  <ignoredErrors>
    <ignoredError sqref="F20" formula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EC285-8FFC-4683-BC9A-1ECDF128E488}">
  <sheetPr codeName="Sheet17"/>
  <dimension ref="A2:J41"/>
  <sheetViews>
    <sheetView workbookViewId="0">
      <selection activeCell="E27" sqref="E27"/>
    </sheetView>
  </sheetViews>
  <sheetFormatPr defaultRowHeight="13.2" x14ac:dyDescent="0.25"/>
  <cols>
    <col min="1" max="1" width="28.109375" customWidth="1"/>
    <col min="2" max="2" width="10.5546875" customWidth="1"/>
    <col min="3" max="3" width="8" customWidth="1"/>
    <col min="4" max="4" width="10.33203125" customWidth="1"/>
    <col min="6" max="6" width="8.5546875" customWidth="1"/>
    <col min="7" max="7" width="12.5546875" customWidth="1"/>
  </cols>
  <sheetData>
    <row r="2" spans="1:7" x14ac:dyDescent="0.25">
      <c r="A2" s="165">
        <f ca="1">TODAY()</f>
        <v>46135</v>
      </c>
      <c r="B2" s="165"/>
      <c r="C2" s="165"/>
      <c r="E2" s="16" t="str">
        <f>_xlfn.TEXTJOIN("",TRUE,"Rēķins Nr. B",Rēķini!A1,Rēķini!D2,"0",Rekvizīti!C3+11)</f>
        <v>Rēķins Nr. B2026040447</v>
      </c>
      <c r="G2" s="39"/>
    </row>
    <row r="3" spans="1:7" x14ac:dyDescent="0.25">
      <c r="A3" s="40"/>
      <c r="B3" s="40"/>
    </row>
    <row r="4" spans="1:7" x14ac:dyDescent="0.25">
      <c r="A4" s="40" t="s">
        <v>218</v>
      </c>
      <c r="B4" s="40"/>
      <c r="E4" s="40" t="s">
        <v>240</v>
      </c>
    </row>
    <row r="5" spans="1:7" x14ac:dyDescent="0.25">
      <c r="A5" s="40" t="s">
        <v>219</v>
      </c>
      <c r="B5" s="40"/>
      <c r="D5" s="40"/>
      <c r="E5" s="41" t="s">
        <v>241</v>
      </c>
    </row>
    <row r="6" spans="1:7" x14ac:dyDescent="0.25">
      <c r="A6" s="40" t="s">
        <v>220</v>
      </c>
      <c r="B6" s="40"/>
      <c r="D6" s="40"/>
    </row>
    <row r="7" spans="1:7" x14ac:dyDescent="0.25">
      <c r="A7" s="40" t="s">
        <v>221</v>
      </c>
      <c r="B7" s="41"/>
      <c r="D7" s="41"/>
    </row>
    <row r="8" spans="1:7" x14ac:dyDescent="0.25">
      <c r="A8" s="40" t="s">
        <v>222</v>
      </c>
      <c r="B8" s="40"/>
      <c r="D8" s="41"/>
    </row>
    <row r="10" spans="1:7" x14ac:dyDescent="0.25">
      <c r="A10" s="53" t="str">
        <f>_xlfn.TEXTJOIN("",TRUE,"Komunālo pakalpojumu sniegšanas periods: ","2025. gada ",Rēķini!$D$1)</f>
        <v>Komunālo pakalpojumu sniegšanas periods: 2025. gada MARTS</v>
      </c>
    </row>
    <row r="11" spans="1:7" x14ac:dyDescent="0.25">
      <c r="A11" s="53" t="str">
        <f>_xlfn.TEXTJOIN("",TRUE,"Apsaimniekošana: ",Rēķini!$A$1,". gada ",Rēķini!$E$1)</f>
        <v>Apsaimniekošana: 2026. gada APRĪLIS</v>
      </c>
    </row>
    <row r="13" spans="1:7" x14ac:dyDescent="0.25">
      <c r="A13" s="39" t="s">
        <v>91</v>
      </c>
      <c r="B13" s="42">
        <f>DATE(Rēķini!A1,Rēķini!$D$2,30)</f>
        <v>46142</v>
      </c>
    </row>
    <row r="14" spans="1:7" ht="13.8" thickBot="1" x14ac:dyDescent="0.3"/>
    <row r="15" spans="1:7" x14ac:dyDescent="0.25">
      <c r="A15" s="151" t="s">
        <v>92</v>
      </c>
      <c r="B15" s="152"/>
      <c r="C15" s="153"/>
      <c r="D15" s="143" t="s">
        <v>93</v>
      </c>
      <c r="E15" s="143" t="s">
        <v>94</v>
      </c>
      <c r="F15" s="143" t="s">
        <v>95</v>
      </c>
      <c r="G15" s="143" t="s">
        <v>96</v>
      </c>
    </row>
    <row r="16" spans="1:7" ht="13.8" thickBot="1" x14ac:dyDescent="0.3">
      <c r="A16" s="154"/>
      <c r="B16" s="155"/>
      <c r="C16" s="156"/>
      <c r="D16" s="144"/>
      <c r="E16" s="144"/>
      <c r="F16" s="144"/>
      <c r="G16" s="144"/>
    </row>
    <row r="17" spans="1:10" ht="15.6" x14ac:dyDescent="0.25">
      <c r="A17" s="167" t="s">
        <v>213</v>
      </c>
      <c r="B17" s="168"/>
      <c r="C17" s="169"/>
      <c r="D17" s="52" t="s">
        <v>103</v>
      </c>
      <c r="E17" s="99">
        <v>98.3</v>
      </c>
      <c r="F17" s="100">
        <v>0.60440000000000005</v>
      </c>
      <c r="G17" s="101">
        <f>E17*F17</f>
        <v>59.412520000000001</v>
      </c>
    </row>
    <row r="18" spans="1:10" x14ac:dyDescent="0.25">
      <c r="A18" s="145" t="s">
        <v>97</v>
      </c>
      <c r="B18" s="146"/>
      <c r="C18" s="147"/>
      <c r="D18" s="43"/>
      <c r="E18" s="43"/>
      <c r="F18" s="44"/>
      <c r="G18" s="44"/>
    </row>
    <row r="19" spans="1:10" ht="15.75" customHeight="1" x14ac:dyDescent="0.25">
      <c r="A19" s="148" t="str">
        <f>_xlfn.TEXTJOIN(" ",TRUE,"Aukstā ūdens skaitītājs (rād:",Ūdens!J13,"-", Ūdens!K13, ")")</f>
        <v>Aukstā ūdens skaitītājs (rād: 0,7 - 0,7 )</v>
      </c>
      <c r="B19" s="149"/>
      <c r="C19" s="150"/>
      <c r="D19" s="43" t="s">
        <v>98</v>
      </c>
      <c r="E19" s="43">
        <f>Ūdens!R13</f>
        <v>0</v>
      </c>
      <c r="F19" s="50">
        <f>Rēķini!G2</f>
        <v>3.2307000000000001</v>
      </c>
      <c r="G19" s="50">
        <f>Ūdens!X13</f>
        <v>0</v>
      </c>
    </row>
    <row r="20" spans="1:10" ht="15.75" customHeight="1" x14ac:dyDescent="0.25">
      <c r="A20" s="148" t="str">
        <f>_xlfn.TEXTJOIN(" ",TRUE,"Karstā ūdens skaitītājs (rād:",Ūdens!L13,"-", Ūdens!M13, ")")</f>
        <v>Karstā ūdens skaitītājs (rād: 0,12 - 0,19 )</v>
      </c>
      <c r="B20" s="149"/>
      <c r="C20" s="150"/>
      <c r="D20" s="43" t="s">
        <v>98</v>
      </c>
      <c r="E20" s="43">
        <f>Ūdens!S13</f>
        <v>7.0000000000000007E-2</v>
      </c>
      <c r="F20" s="44">
        <f>Rēķini!H2</f>
        <v>6.9107000000000003</v>
      </c>
      <c r="G20" s="50">
        <f>Ūdens!Y13</f>
        <v>0.48</v>
      </c>
    </row>
    <row r="21" spans="1:10" ht="15.75" customHeight="1" x14ac:dyDescent="0.25">
      <c r="A21" s="148" t="str">
        <f>_xlfn.TEXTJOIN(" ",TRUE,"Laistāmais ūdens skaitītājs (rād:",Ūdens!N13,"-", Ūdens!O13, ")")</f>
        <v>Laistāmais ūdens skaitītājs (rād: 0,01 - 0,01 )</v>
      </c>
      <c r="B21" s="149"/>
      <c r="C21" s="150"/>
      <c r="D21" s="43" t="s">
        <v>98</v>
      </c>
      <c r="E21" s="43">
        <f>Ūdens!T13</f>
        <v>0</v>
      </c>
      <c r="F21" s="50">
        <f>Rēķini!G2</f>
        <v>3.2307000000000001</v>
      </c>
      <c r="G21" s="50">
        <f>Ūdens!Z13</f>
        <v>0</v>
      </c>
    </row>
    <row r="22" spans="1:10" x14ac:dyDescent="0.25">
      <c r="A22" s="145" t="s">
        <v>99</v>
      </c>
      <c r="B22" s="146"/>
      <c r="C22" s="147"/>
      <c r="D22" s="43" t="s">
        <v>117</v>
      </c>
      <c r="E22" s="43">
        <v>1</v>
      </c>
      <c r="F22" s="50">
        <f>Rēķini!I16</f>
        <v>6.77</v>
      </c>
      <c r="G22" s="50">
        <f>Rēķini!I16</f>
        <v>6.77</v>
      </c>
    </row>
    <row r="23" spans="1:10" x14ac:dyDescent="0.25">
      <c r="A23" s="145" t="s">
        <v>100</v>
      </c>
      <c r="B23" s="146"/>
      <c r="C23" s="147"/>
      <c r="D23" s="43" t="s">
        <v>101</v>
      </c>
      <c r="E23" s="43">
        <v>1</v>
      </c>
      <c r="F23" s="50">
        <f>Rēķini!J14</f>
        <v>0.8</v>
      </c>
      <c r="G23" s="50">
        <f>Rēķini!J14</f>
        <v>0.8</v>
      </c>
      <c r="J23" s="58"/>
    </row>
    <row r="24" spans="1:10" x14ac:dyDescent="0.25">
      <c r="A24" s="97" t="s">
        <v>243</v>
      </c>
      <c r="B24" s="85"/>
      <c r="C24" s="98"/>
      <c r="D24" s="43" t="s">
        <v>117</v>
      </c>
      <c r="E24" s="43">
        <v>1</v>
      </c>
      <c r="F24" s="50">
        <f>Rēķini!L13</f>
        <v>5.62</v>
      </c>
      <c r="G24" s="50">
        <f>Rēķini!L13</f>
        <v>5.62</v>
      </c>
      <c r="J24" s="58"/>
    </row>
    <row r="25" spans="1:10" ht="15.6" x14ac:dyDescent="0.25">
      <c r="A25" s="145" t="s">
        <v>320</v>
      </c>
      <c r="B25" s="146"/>
      <c r="C25" s="147"/>
      <c r="D25" s="52" t="s">
        <v>103</v>
      </c>
      <c r="E25" s="43">
        <v>98.3</v>
      </c>
      <c r="F25" s="54">
        <f>Rekvizīti!C33</f>
        <v>0.24759999999999999</v>
      </c>
      <c r="G25" s="50">
        <f>Rēķini!M16</f>
        <v>24.34</v>
      </c>
      <c r="J25" s="58"/>
    </row>
    <row r="26" spans="1:10" x14ac:dyDescent="0.25">
      <c r="A26" s="145" t="s">
        <v>321</v>
      </c>
      <c r="B26" s="146"/>
      <c r="C26" s="147"/>
      <c r="D26" s="52" t="s">
        <v>280</v>
      </c>
      <c r="E26" s="43">
        <v>20.991599999999998</v>
      </c>
      <c r="F26" s="54">
        <f>Rekvizīti!C34</f>
        <v>9.7500000000000003E-2</v>
      </c>
      <c r="G26" s="50">
        <f>Rēķini!N16</f>
        <v>2.0499999999999998</v>
      </c>
      <c r="J26" s="58"/>
    </row>
    <row r="27" spans="1:10" ht="15.6" x14ac:dyDescent="0.25">
      <c r="A27" s="145" t="s">
        <v>104</v>
      </c>
      <c r="B27" s="146"/>
      <c r="C27" s="147"/>
      <c r="D27" s="52" t="s">
        <v>103</v>
      </c>
      <c r="E27" s="52">
        <v>98.3</v>
      </c>
      <c r="F27" s="44">
        <f>Rēķini!$O$2</f>
        <v>3.6999999999999998E-2</v>
      </c>
      <c r="G27" s="50">
        <f>Rēķini!$O$16</f>
        <v>3.64</v>
      </c>
      <c r="J27" s="58"/>
    </row>
    <row r="28" spans="1:10" ht="13.8" thickBot="1" x14ac:dyDescent="0.3">
      <c r="A28" s="160" t="s">
        <v>261</v>
      </c>
      <c r="B28" s="161"/>
      <c r="C28" s="162"/>
      <c r="D28" s="60"/>
      <c r="E28" s="60"/>
      <c r="F28" s="46"/>
      <c r="G28" s="51">
        <f>Rēķini!Q16</f>
        <v>-63.05</v>
      </c>
    </row>
    <row r="29" spans="1:10" ht="13.8" thickBot="1" x14ac:dyDescent="0.3">
      <c r="C29" s="47"/>
      <c r="D29" s="166" t="s">
        <v>105</v>
      </c>
      <c r="E29" s="166"/>
      <c r="F29" s="170"/>
      <c r="G29" s="56">
        <f>SUM(G17:G28)</f>
        <v>40.062520000000006</v>
      </c>
    </row>
    <row r="30" spans="1:10" x14ac:dyDescent="0.25">
      <c r="D30" s="55"/>
    </row>
    <row r="31" spans="1:10" x14ac:dyDescent="0.25">
      <c r="A31" s="40" t="str">
        <f>_xlfn.TEXTJOIN(" ",TRUE,"Summa vārdiem: ",Rēķini!U16)</f>
        <v>Summa vārdiem:  Četrdesmit eiro, 06 centi</v>
      </c>
    </row>
    <row r="32" spans="1:10" x14ac:dyDescent="0.25">
      <c r="I32" s="41"/>
    </row>
    <row r="34" spans="1:1" x14ac:dyDescent="0.25">
      <c r="A34" s="41" t="str">
        <f>_xlfn.TEXTJOIN(" ",TRUE,"* Siltumenerģijas patēriņš", Rēķini!$D$30, "kopā: ",Rekvizīti!$C$19,"Mwh (",Rēķini!$E$32, "Eur)")</f>
        <v>* Siltumenerģijas patēriņš martā kopā:  7,81 Mwh ( 729,3 Eur)</v>
      </c>
    </row>
    <row r="35" spans="1:1" x14ac:dyDescent="0.25">
      <c r="A35" s="41" t="str">
        <f>_xlfn.TEXTJOIN(" ",TRUE,"*** Koplietošanas elektrības patēriņš", Rēķini!$D$30, "kopā: ",Rekvizīti!$C$20,"Kwh (", Rekvizīti!$C$9, "Eur)")</f>
        <v>*** Koplietošanas elektrības patēriņš martā kopā:  278,46 Kwh ( 67,43 Eur)</v>
      </c>
    </row>
    <row r="36" spans="1:1" hidden="1" x14ac:dyDescent="0.25">
      <c r="A36" s="41" t="s">
        <v>281</v>
      </c>
    </row>
    <row r="38" spans="1:1" ht="13.8" x14ac:dyDescent="0.25">
      <c r="A38" s="48"/>
    </row>
    <row r="39" spans="1:1" x14ac:dyDescent="0.25">
      <c r="A39" s="41"/>
    </row>
    <row r="40" spans="1:1" x14ac:dyDescent="0.25">
      <c r="A40" s="41"/>
    </row>
    <row r="41" spans="1:1" x14ac:dyDescent="0.25">
      <c r="A41" s="41" t="s">
        <v>106</v>
      </c>
    </row>
  </sheetData>
  <mergeCells count="18">
    <mergeCell ref="A26:C26"/>
    <mergeCell ref="A22:C22"/>
    <mergeCell ref="A27:C27"/>
    <mergeCell ref="A2:C2"/>
    <mergeCell ref="A15:C16"/>
    <mergeCell ref="D15:D16"/>
    <mergeCell ref="A17:C17"/>
    <mergeCell ref="A20:C20"/>
    <mergeCell ref="F15:F16"/>
    <mergeCell ref="E15:E16"/>
    <mergeCell ref="G15:G16"/>
    <mergeCell ref="A18:C18"/>
    <mergeCell ref="A19:C19"/>
    <mergeCell ref="D29:F29"/>
    <mergeCell ref="A21:C21"/>
    <mergeCell ref="A28:C28"/>
    <mergeCell ref="A23:C23"/>
    <mergeCell ref="A25:C25"/>
  </mergeCells>
  <pageMargins left="0.7" right="0.7" top="0.75" bottom="0.75" header="0.3" footer="0.3"/>
  <pageSetup paperSize="9" orientation="portrait" r:id="rId1"/>
  <ignoredErrors>
    <ignoredError sqref="F20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FE64-D30A-40C0-ADD2-5AED781E9723}">
  <dimension ref="A1:G32"/>
  <sheetViews>
    <sheetView workbookViewId="0">
      <selection activeCell="I21" sqref="I21"/>
    </sheetView>
  </sheetViews>
  <sheetFormatPr defaultRowHeight="13.2" x14ac:dyDescent="0.25"/>
  <cols>
    <col min="1" max="1" width="23.109375" customWidth="1"/>
    <col min="2" max="2" width="16.88671875" customWidth="1"/>
    <col min="5" max="5" width="10" bestFit="1" customWidth="1"/>
    <col min="7" max="7" width="10.33203125" customWidth="1"/>
  </cols>
  <sheetData>
    <row r="1" spans="1:7" x14ac:dyDescent="0.25">
      <c r="A1" s="165">
        <f ca="1">TODAY()</f>
        <v>46135</v>
      </c>
      <c r="B1" s="165"/>
      <c r="C1" s="165"/>
      <c r="E1" s="16" t="str">
        <f>_xlfn.TEXTJOIN("",TRUE,"Rēķins Nr. B",Rēķini!A1,Rēķini!D2,"0",Rekvizīti!C3+12)</f>
        <v>Rēķins Nr. B2026040448</v>
      </c>
      <c r="G1" s="39"/>
    </row>
    <row r="3" spans="1:7" x14ac:dyDescent="0.25">
      <c r="A3" s="40" t="s">
        <v>218</v>
      </c>
      <c r="B3" s="40"/>
      <c r="E3" s="40" t="s">
        <v>276</v>
      </c>
    </row>
    <row r="4" spans="1:7" x14ac:dyDescent="0.25">
      <c r="A4" s="40" t="s">
        <v>219</v>
      </c>
      <c r="E4" s="41" t="s">
        <v>239</v>
      </c>
    </row>
    <row r="5" spans="1:7" x14ac:dyDescent="0.25">
      <c r="A5" s="40" t="s">
        <v>220</v>
      </c>
      <c r="B5" s="41"/>
    </row>
    <row r="6" spans="1:7" x14ac:dyDescent="0.25">
      <c r="A6" s="40" t="s">
        <v>221</v>
      </c>
      <c r="B6" s="41"/>
      <c r="D6" s="41"/>
    </row>
    <row r="7" spans="1:7" x14ac:dyDescent="0.25">
      <c r="A7" s="40" t="s">
        <v>222</v>
      </c>
      <c r="B7" s="41"/>
      <c r="D7" s="41"/>
    </row>
    <row r="8" spans="1:7" x14ac:dyDescent="0.25">
      <c r="B8" s="40"/>
    </row>
    <row r="10" spans="1:7" x14ac:dyDescent="0.25">
      <c r="A10" s="39" t="s">
        <v>91</v>
      </c>
      <c r="B10" s="42">
        <v>46142</v>
      </c>
    </row>
    <row r="11" spans="1:7" ht="13.8" thickBot="1" x14ac:dyDescent="0.3"/>
    <row r="12" spans="1:7" x14ac:dyDescent="0.25">
      <c r="A12" s="151" t="s">
        <v>92</v>
      </c>
      <c r="B12" s="152"/>
      <c r="C12" s="153"/>
      <c r="D12" s="153" t="s">
        <v>93</v>
      </c>
      <c r="E12" s="151" t="s">
        <v>277</v>
      </c>
      <c r="F12" s="143" t="s">
        <v>95</v>
      </c>
      <c r="G12" s="153" t="s">
        <v>96</v>
      </c>
    </row>
    <row r="13" spans="1:7" ht="13.8" thickBot="1" x14ac:dyDescent="0.3">
      <c r="A13" s="154"/>
      <c r="B13" s="155"/>
      <c r="C13" s="156"/>
      <c r="D13" s="156"/>
      <c r="E13" s="154"/>
      <c r="F13" s="144"/>
      <c r="G13" s="156"/>
    </row>
    <row r="14" spans="1:7" x14ac:dyDescent="0.25">
      <c r="A14" s="188" t="s">
        <v>242</v>
      </c>
      <c r="B14" s="189"/>
      <c r="C14" s="190"/>
      <c r="D14" s="129" t="s">
        <v>275</v>
      </c>
      <c r="E14" s="130" t="s">
        <v>319</v>
      </c>
      <c r="F14" s="131">
        <v>51.6</v>
      </c>
      <c r="G14" s="132">
        <v>51.6</v>
      </c>
    </row>
    <row r="15" spans="1:7" ht="13.8" thickBot="1" x14ac:dyDescent="0.3">
      <c r="A15" s="85"/>
      <c r="B15" s="85"/>
      <c r="C15" s="85"/>
      <c r="D15" s="55"/>
      <c r="E15" s="135"/>
      <c r="F15" s="136" t="s">
        <v>298</v>
      </c>
      <c r="G15" s="102">
        <f>SUM(G14:G14)</f>
        <v>51.6</v>
      </c>
    </row>
    <row r="16" spans="1:7" ht="13.8" thickBot="1" x14ac:dyDescent="0.3">
      <c r="A16" s="85"/>
      <c r="B16" s="85"/>
      <c r="C16" s="85"/>
      <c r="D16" s="55"/>
      <c r="E16" s="135"/>
      <c r="F16" s="136" t="s">
        <v>290</v>
      </c>
      <c r="G16" s="102">
        <v>100.46</v>
      </c>
    </row>
    <row r="17" spans="1:7" ht="13.8" thickBot="1" x14ac:dyDescent="0.3">
      <c r="C17" s="47"/>
      <c r="D17" s="166" t="s">
        <v>105</v>
      </c>
      <c r="E17" s="166"/>
      <c r="F17" s="170"/>
      <c r="G17" s="102">
        <f>G15+G16</f>
        <v>152.06</v>
      </c>
    </row>
    <row r="19" spans="1:7" x14ac:dyDescent="0.25">
      <c r="A19" s="40"/>
    </row>
    <row r="21" spans="1:7" x14ac:dyDescent="0.25">
      <c r="B21" s="42"/>
      <c r="C21" s="1"/>
    </row>
    <row r="22" spans="1:7" x14ac:dyDescent="0.25">
      <c r="A22" s="41"/>
      <c r="B22" s="42"/>
      <c r="C22" s="1"/>
    </row>
    <row r="23" spans="1:7" x14ac:dyDescent="0.25">
      <c r="B23" s="42"/>
      <c r="C23" s="1"/>
    </row>
    <row r="24" spans="1:7" x14ac:dyDescent="0.25">
      <c r="B24" s="42"/>
      <c r="C24" s="1"/>
    </row>
    <row r="25" spans="1:7" x14ac:dyDescent="0.25">
      <c r="B25" s="42"/>
      <c r="C25" s="1"/>
    </row>
    <row r="26" spans="1:7" x14ac:dyDescent="0.25">
      <c r="B26" s="42"/>
      <c r="C26" s="1"/>
    </row>
    <row r="27" spans="1:7" x14ac:dyDescent="0.25">
      <c r="B27" s="42"/>
      <c r="C27" s="1"/>
    </row>
    <row r="28" spans="1:7" x14ac:dyDescent="0.25">
      <c r="B28" s="42"/>
      <c r="C28" s="1"/>
    </row>
    <row r="29" spans="1:7" x14ac:dyDescent="0.25">
      <c r="B29" s="42"/>
      <c r="C29" s="1"/>
    </row>
    <row r="30" spans="1:7" x14ac:dyDescent="0.25">
      <c r="A30" s="16"/>
      <c r="B30" s="16"/>
      <c r="C30" s="15"/>
    </row>
    <row r="32" spans="1:7" x14ac:dyDescent="0.25">
      <c r="A32" s="41" t="s">
        <v>106</v>
      </c>
    </row>
  </sheetData>
  <mergeCells count="8">
    <mergeCell ref="G12:G13"/>
    <mergeCell ref="D17:F17"/>
    <mergeCell ref="A1:C1"/>
    <mergeCell ref="A12:C13"/>
    <mergeCell ref="D12:D13"/>
    <mergeCell ref="E12:E13"/>
    <mergeCell ref="F12:F13"/>
    <mergeCell ref="A14:C1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Siltuma aprēķins</vt:lpstr>
      <vt:lpstr>Rekvizīti</vt:lpstr>
      <vt:lpstr>Rēķini</vt:lpstr>
      <vt:lpstr>Mēneša Kopsummas</vt:lpstr>
      <vt:lpstr>Ūdens</vt:lpstr>
      <vt:lpstr>Elektrība</vt:lpstr>
      <vt:lpstr>veikals 1</vt:lpstr>
      <vt:lpstr>veikals 2</vt:lpstr>
      <vt:lpstr>dz3</vt:lpstr>
      <vt:lpstr>dz4</vt:lpstr>
      <vt:lpstr>dz6</vt:lpstr>
      <vt:lpstr>dz7</vt:lpstr>
      <vt:lpstr>dz8</vt:lpstr>
      <vt:lpstr>dz9</vt:lpstr>
      <vt:lpstr>dz10</vt:lpstr>
      <vt:lpstr>dz11</vt:lpstr>
      <vt:lpstr>dz12</vt:lpstr>
      <vt:lpstr>1A pagrabs</vt:lpstr>
      <vt:lpstr>dz11dz12 skait&amp;rem</vt:lpstr>
    </vt:vector>
  </TitlesOfParts>
  <Company>Tieto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Hedija Butina</dc:creator>
  <cp:lastModifiedBy>Hedija B</cp:lastModifiedBy>
  <cp:lastPrinted>2026-04-22T06:09:31Z</cp:lastPrinted>
  <dcterms:created xsi:type="dcterms:W3CDTF">2012-12-14T08:10:30Z</dcterms:created>
  <dcterms:modified xsi:type="dcterms:W3CDTF">2026-04-23T20:34:59Z</dcterms:modified>
</cp:coreProperties>
</file>